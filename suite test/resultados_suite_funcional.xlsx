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451ADF49-5B35-469E-ABEA-1B2751D9D7B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00_lectura" sheetId="1" r:id="rId1"/>
    <sheet name="01_reporte_puente" sheetId="2" r:id="rId2"/>
    <sheet name="02_requisitos_M6" sheetId="3" r:id="rId3"/>
    <sheet name="03_resume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10" i="4"/>
  <c r="B9" i="4"/>
  <c r="B8" i="4"/>
  <c r="B7" i="4"/>
  <c r="B6" i="4"/>
  <c r="B5" i="4"/>
  <c r="B4" i="4"/>
</calcChain>
</file>

<file path=xl/sharedStrings.xml><?xml version="1.0" encoding="utf-8"?>
<sst xmlns="http://schemas.openxmlformats.org/spreadsheetml/2006/main" count="519" uniqueCount="189">
  <si>
    <t>Evidencia automatica: Evidencia detallada en results/results_*.jsonl y results/summary_*.json.</t>
  </si>
  <si>
    <t>Estado de soporte: 
- Soportado por JSON de suite; revisar discrepancias con resultado final Excel
- Principalmente manual; JSON disponible como soporte parcial</t>
  </si>
  <si>
    <t>ID test</t>
  </si>
  <si>
    <t>Requisito</t>
  </si>
  <si>
    <t>Area</t>
  </si>
  <si>
    <t>Objetivo</t>
  </si>
  <si>
    <t>Prioridad</t>
  </si>
  <si>
    <t>Tipo 
evaluación</t>
  </si>
  <si>
    <t>Suite 
Baseline</t>
  </si>
  <si>
    <t>Suite 
Run 01</t>
  </si>
  <si>
    <t>Suite 
Run 02</t>
  </si>
  <si>
    <t>Suite 
Run 03</t>
  </si>
  <si>
    <t>Resultado 
Excel Baseline</t>
  </si>
  <si>
    <t>Resultado 
Excel Run 01</t>
  </si>
  <si>
    <t>Resultado 
Excel Run 02</t>
  </si>
  <si>
    <t>Resultado 
Excel Run 03</t>
  </si>
  <si>
    <t>Evidencia 
manual / Observaciones</t>
  </si>
  <si>
    <t>T-AUTH-01</t>
  </si>
  <si>
    <t>B1</t>
  </si>
  <si>
    <t>Autenticación</t>
  </si>
  <si>
    <t>Registro de cliente</t>
  </si>
  <si>
    <t>Alta</t>
  </si>
  <si>
    <t>MANUAL</t>
  </si>
  <si>
    <t>passed</t>
  </si>
  <si>
    <t>failed</t>
  </si>
  <si>
    <t>PASS</t>
  </si>
  <si>
    <t>RUN 01: Validaciones de formulario incluidas.
RUN 02: Mejor interfaz que RUN 01.
RUN 03: La mejor interfaz de los demas Runs.</t>
  </si>
  <si>
    <t>T-AUTH-02</t>
  </si>
  <si>
    <t>Login de usuario</t>
  </si>
  <si>
    <t>AUTOMATICA</t>
  </si>
  <si>
    <t>No aplica</t>
  </si>
  <si>
    <t>T-AUTH-03</t>
  </si>
  <si>
    <t>Logout explícito</t>
  </si>
  <si>
    <t>FAIL</t>
  </si>
  <si>
    <t xml:space="preserve">RUN 02: Inicio sesion pero luego no aparece el boton para cerrar sesion. Aparece en otras interfaces, no es visible siempre. </t>
  </si>
  <si>
    <t>T-CAT-01</t>
  </si>
  <si>
    <t>B2</t>
  </si>
  <si>
    <t>Catálogo</t>
  </si>
  <si>
    <t>Listado de barcos</t>
  </si>
  <si>
    <t>T-CAT-02</t>
  </si>
  <si>
    <t>B3</t>
  </si>
  <si>
    <t>Ficha de barco</t>
  </si>
  <si>
    <t>T-CAT-03</t>
  </si>
  <si>
    <t>Búsqueda por nombre</t>
  </si>
  <si>
    <t>T-CAT-04</t>
  </si>
  <si>
    <t>Filtro por puerto</t>
  </si>
  <si>
    <t>Media</t>
  </si>
  <si>
    <t>blocked</t>
  </si>
  <si>
    <t>T-CAT-05</t>
  </si>
  <si>
    <t>Filtro por fabricante</t>
  </si>
  <si>
    <t>T-CAT-06</t>
  </si>
  <si>
    <t>Filtros combinados</t>
  </si>
  <si>
    <t>T-CAT-07</t>
  </si>
  <si>
    <t>Disponibilidad por fechas</t>
  </si>
  <si>
    <t xml:space="preserve">BASELINE: Suele contener toda la edicion para continuar, fechas , cantidad, y un detalle de los pagos conforme hace los cambios.
RUN 02: La colocacion de fechas esta dentro de los pasos de reserva. </t>
  </si>
  <si>
    <t>T-CART-01</t>
  </si>
  <si>
    <t>B3, B4</t>
  </si>
  <si>
    <t>Cesta</t>
  </si>
  <si>
    <t>Añadir barco a cesta</t>
  </si>
  <si>
    <t>Pendiente de documentar evidencia manual</t>
  </si>
  <si>
    <t>T-CART-02</t>
  </si>
  <si>
    <t>B4</t>
  </si>
  <si>
    <t>Modificar cantidad/fechas</t>
  </si>
  <si>
    <t>RUN 01: Se modifica antes de enviar a la cesta, luego ya no se puede.
RUN 02: Editar fechas y cantidad estan separadas.
RUN 03: Separa dentro del proceso de reserva.</t>
  </si>
  <si>
    <t>T-CART-03</t>
  </si>
  <si>
    <t>Cesta accesible</t>
  </si>
  <si>
    <t>T-RES-01</t>
  </si>
  <si>
    <t>B5</t>
  </si>
  <si>
    <t>Reserva</t>
  </si>
  <si>
    <t>Reserva sin registro</t>
  </si>
  <si>
    <t>MIXTA</t>
  </si>
  <si>
    <t>RUN 02: GET /reserva/paso2/ HTTP/1.1 500
RUN 03: GET /reserva/paso2/ HTTP/1.1 500 Error de renderizado de template</t>
  </si>
  <si>
    <t>T-RES-02</t>
  </si>
  <si>
    <t>Reserva con usuario registrado</t>
  </si>
  <si>
    <t>RUN 02: GET /reserva/paso2/ HTTP/1.1 500
RUN 03: Error de renderizado de template</t>
  </si>
  <si>
    <t>T-RES-03</t>
  </si>
  <si>
    <t>Checkout máximo tres pasos</t>
  </si>
  <si>
    <t>RUN 02: No se puede comprobar debido al error anterior.
RUN 03: No se puede comprobar debido al error anterior.</t>
  </si>
  <si>
    <t>T-RES-04</t>
  </si>
  <si>
    <t>B8</t>
  </si>
  <si>
    <t>Tasa combustible</t>
  </si>
  <si>
    <t>BASELINE: Lo presenta detallado en el proceso de reserva según corresponda, el cliente sabe si pagar una tasa de combustible. 
RUN 01: La tasa de combustible viene implicitamente en el precio, no hay detalle del pago, parece que no estuviera considerado. Para el ADMIN las reservas si estan detallados y la tasa de combustible esta presente.
RUN 02: No se puede hacer reserva.
RUN 03: Al enviar un producto a la cesta se especificado si corresponde pagar una tasa de combustible. El precio esta especificado y desglosado.</t>
  </si>
  <si>
    <t>T-PAY-01</t>
  </si>
  <si>
    <t>B6</t>
  </si>
  <si>
    <t>Pago</t>
  </si>
  <si>
    <t>Contra-reembolso</t>
  </si>
  <si>
    <t>RUN 02: No se puede completar la  reserva.
RUN 03: No se puede completar reserva</t>
  </si>
  <si>
    <t>T-PAY-02</t>
  </si>
  <si>
    <t>PayPal Sandbox visible</t>
  </si>
  <si>
    <t>T-TRACK-01</t>
  </si>
  <si>
    <t>B7</t>
  </si>
  <si>
    <t>Seguimiento</t>
  </si>
  <si>
    <t>Código seguimiento generado</t>
  </si>
  <si>
    <t xml:space="preserve">RUN 02: No se puede completar la  reserva y tampoco hay alguna señal de que se pueda consultar la reserva con el codigo. </t>
  </si>
  <si>
    <t>T-TRACK-02</t>
  </si>
  <si>
    <t>B10</t>
  </si>
  <si>
    <t>Consulta por código sin login</t>
  </si>
  <si>
    <t>T-TRACK-03</t>
  </si>
  <si>
    <t>B9</t>
  </si>
  <si>
    <t>Cancelación sólo pendiente</t>
  </si>
  <si>
    <t xml:space="preserve">Baseline:  Esto no esta implementado.
RUN 02: No se puede completar la  reserva y tampoco hay alguna señal de que se pueda consultar la reserva con el codigo.  </t>
  </si>
  <si>
    <t>T-ADMIN-01</t>
  </si>
  <si>
    <t>B11</t>
  </si>
  <si>
    <t>Admin</t>
  </si>
  <si>
    <t>Acceso panel admin propio</t>
  </si>
  <si>
    <t>RUN 01: Dificil de acceder poque no especifica de manera sencilla las credenciales para acceder al panel de ADMIN.
RUN 02: No hay acceso al panel de admin.
RUN 03: No hay acceso al panel de admin. Error de resolución de URL en template</t>
  </si>
  <si>
    <t>T-ADMIN-02</t>
  </si>
  <si>
    <t>Gestión catálogo</t>
  </si>
  <si>
    <t>RUN 02: No hay panel de admin.
RUN 03: No hay panel de admin.</t>
  </si>
  <si>
    <t>T-ADMIN-03</t>
  </si>
  <si>
    <t>Gestión clientes</t>
  </si>
  <si>
    <t>T-ADMIN-04</t>
  </si>
  <si>
    <t>B9, B11</t>
  </si>
  <si>
    <t>Gestión reservas y estados</t>
  </si>
  <si>
    <t>T-ADMIN-05</t>
  </si>
  <si>
    <t>Restricción eliminar cliente con reservas</t>
  </si>
  <si>
    <t>Documento puente - suite funcional VD2</t>
  </si>
  <si>
    <t>Consolidar la evidencia de la suite funcional y la revisi?n manual usada para alimentar la hoja 06_P1_P2_pruebas.</t>
  </si>
  <si>
    <t>Fuente 1</t>
  </si>
  <si>
    <t>Matriz oficial de pruebas: hundidos_tests/metrics/requirements_matrix.yml.</t>
  </si>
  <si>
    <t>Fuente 2</t>
  </si>
  <si>
    <t>Planilla maestra: hoja 06_P1_P2_pruebas.</t>
  </si>
  <si>
    <t>Estado actual</t>
  </si>
  <si>
    <t>Resultados JSON/JSONL actualizados para baseline, run01, run02 y run03. No hay errores de conexi?n en las ejecuciones vigentes.</t>
  </si>
  <si>
    <t>Uso</t>
  </si>
  <si>
    <t>Ejecutar la suite por producto, guardar los JSON/JSONL y actualizar este reporte para sustentar PASS/FAIL/BLOCKED/SKIPPED.</t>
  </si>
  <si>
    <t>Criterio AUTOMATICA</t>
  </si>
  <si>
    <t>La suite puede comprobar el caso mediante navegaci?n HTTP, formularios, selectores o texto visible.</t>
  </si>
  <si>
    <t>Criterio MANUAL</t>
  </si>
  <si>
    <t>La conclusi?n requiere revisi?n humana, datos preparados o interpretaci?n funcional.</t>
  </si>
  <si>
    <t>Criterio MIXTA</t>
  </si>
  <si>
    <t>La suite comprueba una parte t?cnica y la conclusi?n final se completa con evidencia manual.</t>
  </si>
  <si>
    <t>Criterio M6 desde suite:  Implementado solo si todos los tests asociados evaluables pasan; parcial/failed no suma como implementado completo.</t>
  </si>
  <si>
    <t>Uso en excel: Contrastar con M6 de la planilla: Si=1; No/Parcial=0; Parcial queda como evidencia cualitativa.</t>
  </si>
  <si>
    <t>Titulo</t>
  </si>
  <si>
    <t>Tests asociados</t>
  </si>
  <si>
    <t>Usuarios, registro y sesion</t>
  </si>
  <si>
    <t>T-AUTH-01, T-AUTH-02, T-AUTH-03, T-RES-02</t>
  </si>
  <si>
    <t>Catalogo, busqueda y filtros</t>
  </si>
  <si>
    <t>T-CAT-01, T-CAT-03, T-CAT-04, T-CAT-05, T-CAT-06, T-CAT-07</t>
  </si>
  <si>
    <t>Ficha de barco con cantidad</t>
  </si>
  <si>
    <t>T-CAT-02, T-CART-01</t>
  </si>
  <si>
    <t>Cesta visible y modificable</t>
  </si>
  <si>
    <t>T-CART-01, T-CART-02, T-CART-03</t>
  </si>
  <si>
    <t>Proceso de reserva sin registro y en maximo tres pasos</t>
  </si>
  <si>
    <t>T-RES-01, T-RES-03</t>
  </si>
  <si>
    <t>Metodos de pago PayPal Sandbox y contra-reembolso</t>
  </si>
  <si>
    <t>T-PAY-01, T-PAY-02</t>
  </si>
  <si>
    <t>Confirmacion con codigo de seguimiento</t>
  </si>
  <si>
    <t>Tasa de combustible</t>
  </si>
  <si>
    <t>Estados y cancelacion de reserva</t>
  </si>
  <si>
    <t>T-ADMIN-04, T-TRACK-03</t>
  </si>
  <si>
    <t>Seguimiento de reservas por codigo</t>
  </si>
  <si>
    <t>Gestion administrativa propia</t>
  </si>
  <si>
    <t>T-ADMIN-01, T-ADMIN-02, T-ADMIN-03, T-ADMIN-04, T-ADMIN-05</t>
  </si>
  <si>
    <t>Resumen de soporte actual</t>
  </si>
  <si>
    <t>Total casos T-*</t>
  </si>
  <si>
    <t>Automatica</t>
  </si>
  <si>
    <t>Manual</t>
  </si>
  <si>
    <t>Mixta</t>
  </si>
  <si>
    <t>Sin ejecucion suite Baseline</t>
  </si>
  <si>
    <t>Sin ejecucion suite Run 01</t>
  </si>
  <si>
    <t>Sin ejecucion suite Run 02</t>
  </si>
  <si>
    <t>Sin ejecucion suite Run 03</t>
  </si>
  <si>
    <t>Este reporte no reemplaza la planilla maestra; documenta la fuente de soporte usada para alimentar la hoja 06 y permite actualizarla cuando existan JSON/JSONL de ejecucion.</t>
  </si>
  <si>
    <t>Producto</t>
  </si>
  <si>
    <t>Total</t>
  </si>
  <si>
    <t>Ejecutados</t>
  </si>
  <si>
    <t>Passed</t>
  </si>
  <si>
    <t>Failed</t>
  </si>
  <si>
    <t>Blocked</t>
  </si>
  <si>
    <t>Skipped</t>
  </si>
  <si>
    <t>M6 suite</t>
  </si>
  <si>
    <t>M7 suite</t>
  </si>
  <si>
    <t>Operatividad</t>
  </si>
  <si>
    <t>baseline</t>
  </si>
  <si>
    <t>run01</t>
  </si>
  <si>
    <t>run02</t>
  </si>
  <si>
    <t>run03</t>
  </si>
  <si>
    <t>Coinciden PASS/FAIL</t>
  </si>
  <si>
    <t>Difieren PASS/FAIL</t>
  </si>
  <si>
    <t>Excel manual/parcial</t>
  </si>
  <si>
    <t>Suite blocked/skipped</t>
  </si>
  <si>
    <t>Lectura simple de metricas suite</t>
  </si>
  <si>
    <t>Requisitos cumplidos / requisitos evaluables * 100. Un requisito cuenta como cumplido si pasan todos sus tests asociados.</t>
  </si>
  <si>
    <t>Pruebas superadas / pruebas ejecutadas * 100. Las pruebas ejecutadas son passed + failed; blocked no entra en este porcentaje.</t>
  </si>
  <si>
    <t>0 = sin funcionamiento verificable; 1 = funcionamiento parcial; 2 = completa el flujo funcional minimo.</t>
  </si>
  <si>
    <t>Nota</t>
  </si>
  <si>
    <t>Estas metricas resumen la evidencia automatizada de la suite y complementan la revision manual de la planilla.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</si>
</sst>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i/>
      <sz val="11"/>
      <color theme="1"/>
      <name val="Calibri"/>
      <family val="2"/>
      <scheme val="minor"/>
    </font>
    <font>
      <b/>
      <sz val="11"/>
      <name val="Calibri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i/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0" fontId="6" fillId="3" borderId="6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" fillId="0" borderId="6" xfId="0" applyFont="1" applyBorder="1" applyAlignment="1">
      <alignment horizontal="center" vertical="top"/>
    </xf>
    <xf numFmtId="0" fontId="0" fillId="0" borderId="6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7" fillId="4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7" fillId="4" borderId="16" xfId="0" applyFont="1" applyFill="1" applyBorder="1" applyAlignment="1">
      <alignment horizontal="left" vertical="top" wrapText="1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/>
    <xf numFmtId="0" fontId="9" fillId="7" borderId="0" xfId="0" applyFont="1" applyFill="1" applyAlignment="1">
      <alignment horizontal="left" vertical="top" wrapText="1"/>
    </xf>
    <xf numFmtId="0" fontId="10" fillId="0" borderId="0" xfId="0" applyFont="1"/>
    <xf numFmtId="0" fontId="10" fillId="0" borderId="0" xfId="0" applyFont="1" applyAlignment="1">
      <alignment horizontal="left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6" borderId="11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left" vertical="center" wrapText="1"/>
    </xf>
    <xf numFmtId="0" fontId="14" fillId="5" borderId="6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left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10" fillId="6" borderId="14" xfId="0" applyFont="1" applyFill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6" fillId="3" borderId="18" xfId="0" applyFont="1" applyFill="1" applyBorder="1" applyAlignment="1">
      <alignment horizontal="left" vertical="top" wrapText="1"/>
    </xf>
    <xf numFmtId="0" fontId="6" fillId="3" borderId="0" xfId="0" applyFont="1" applyFill="1" applyBorder="1" applyAlignment="1">
      <alignment horizontal="left" vertical="top" wrapText="1"/>
    </xf>
    <xf numFmtId="0" fontId="6" fillId="3" borderId="19" xfId="0" applyFont="1" applyFill="1" applyBorder="1" applyAlignment="1">
      <alignment horizontal="left" vertical="top" wrapText="1"/>
    </xf>
    <xf numFmtId="0" fontId="6" fillId="3" borderId="20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9" fillId="0" borderId="3" xfId="0" applyFont="1" applyBorder="1" applyAlignment="1"/>
    <xf numFmtId="0" fontId="15" fillId="4" borderId="20" xfId="0" applyFont="1" applyFill="1" applyBorder="1" applyAlignment="1">
      <alignment horizontal="left" vertical="top" wrapText="1"/>
    </xf>
    <xf numFmtId="0" fontId="15" fillId="4" borderId="2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vertical="top" wrapText="1"/>
    </xf>
    <xf numFmtId="0" fontId="8" fillId="4" borderId="17" xfId="0" applyFont="1" applyFill="1" applyBorder="1" applyAlignment="1">
      <alignment vertical="top" wrapText="1"/>
    </xf>
    <xf numFmtId="0" fontId="3" fillId="4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workbookViewId="0">
      <selection activeCell="B13" sqref="B13"/>
    </sheetView>
  </sheetViews>
  <sheetFormatPr baseColWidth="10" defaultColWidth="8.88671875" defaultRowHeight="14.4" x14ac:dyDescent="0.3"/>
  <cols>
    <col min="1" max="1" width="21.21875" customWidth="1"/>
    <col min="2" max="2" width="110" customWidth="1"/>
  </cols>
  <sheetData>
    <row r="1" spans="1:6" x14ac:dyDescent="0.3">
      <c r="A1" s="22" t="s">
        <v>116</v>
      </c>
      <c r="B1" s="23"/>
      <c r="C1" s="23"/>
      <c r="D1" s="23"/>
      <c r="E1" s="23"/>
      <c r="F1" s="24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2" t="s">
        <v>5</v>
      </c>
      <c r="B3" s="1" t="s">
        <v>117</v>
      </c>
      <c r="C3" s="1"/>
      <c r="D3" s="1"/>
      <c r="E3" s="1"/>
      <c r="F3" s="1"/>
    </row>
    <row r="4" spans="1:6" x14ac:dyDescent="0.3">
      <c r="A4" s="2" t="s">
        <v>118</v>
      </c>
      <c r="B4" s="1" t="s">
        <v>119</v>
      </c>
      <c r="C4" s="1"/>
      <c r="D4" s="1"/>
      <c r="E4" s="1"/>
      <c r="F4" s="1"/>
    </row>
    <row r="5" spans="1:6" x14ac:dyDescent="0.3">
      <c r="A5" s="2" t="s">
        <v>120</v>
      </c>
      <c r="B5" s="1" t="s">
        <v>121</v>
      </c>
      <c r="C5" s="1"/>
      <c r="D5" s="1"/>
      <c r="E5" s="1"/>
      <c r="F5" s="1"/>
    </row>
    <row r="6" spans="1:6" x14ac:dyDescent="0.3">
      <c r="A6" s="2" t="s">
        <v>122</v>
      </c>
      <c r="B6" s="1" t="s">
        <v>123</v>
      </c>
      <c r="C6" s="1"/>
      <c r="D6" s="1"/>
      <c r="E6" s="1"/>
      <c r="F6" s="1"/>
    </row>
    <row r="7" spans="1:6" x14ac:dyDescent="0.3">
      <c r="A7" s="2" t="s">
        <v>124</v>
      </c>
      <c r="B7" s="1" t="s">
        <v>125</v>
      </c>
      <c r="C7" s="1"/>
      <c r="D7" s="1"/>
      <c r="E7" s="1"/>
      <c r="F7" s="1"/>
    </row>
    <row r="8" spans="1:6" x14ac:dyDescent="0.3">
      <c r="A8" s="2" t="s">
        <v>126</v>
      </c>
      <c r="B8" s="1" t="s">
        <v>127</v>
      </c>
      <c r="C8" s="1"/>
      <c r="D8" s="1"/>
      <c r="E8" s="1"/>
      <c r="F8" s="1"/>
    </row>
    <row r="9" spans="1:6" x14ac:dyDescent="0.3">
      <c r="A9" s="2" t="s">
        <v>128</v>
      </c>
      <c r="B9" s="1" t="s">
        <v>129</v>
      </c>
      <c r="C9" s="1"/>
      <c r="D9" s="1"/>
      <c r="E9" s="1"/>
      <c r="F9" s="1"/>
    </row>
    <row r="10" spans="1:6" x14ac:dyDescent="0.3">
      <c r="A10" s="2" t="s">
        <v>130</v>
      </c>
      <c r="B10" s="1" t="s">
        <v>131</v>
      </c>
      <c r="C10" s="1"/>
      <c r="D10" s="1"/>
      <c r="E10" s="1"/>
      <c r="F10" s="1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topLeftCell="A5" workbookViewId="0">
      <selection activeCell="M13" sqref="M13"/>
    </sheetView>
  </sheetViews>
  <sheetFormatPr baseColWidth="10" defaultRowHeight="13.8" x14ac:dyDescent="0.3"/>
  <cols>
    <col min="1" max="1" width="10.5546875" style="32" bestFit="1" customWidth="1"/>
    <col min="2" max="2" width="8.44140625" style="32" bestFit="1" customWidth="1"/>
    <col min="3" max="3" width="11.6640625" style="32" bestFit="1" customWidth="1"/>
    <col min="4" max="4" width="24.77734375" style="33" customWidth="1"/>
    <col min="5" max="5" width="8.109375" style="32" bestFit="1" customWidth="1"/>
    <col min="6" max="6" width="11.6640625" style="32" bestFit="1" customWidth="1"/>
    <col min="7" max="7" width="7.6640625" style="32" bestFit="1" customWidth="1"/>
    <col min="8" max="10" width="7" style="32" bestFit="1" customWidth="1"/>
    <col min="11" max="11" width="12.109375" style="32" bestFit="1" customWidth="1"/>
    <col min="12" max="14" width="11" style="32" bestFit="1" customWidth="1"/>
    <col min="15" max="15" width="170.33203125" style="33" customWidth="1"/>
    <col min="16" max="16384" width="11.5546875" style="32"/>
  </cols>
  <sheetData>
    <row r="1" spans="1:15" s="30" customForma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s="30" customFormat="1" ht="43.8" customHeight="1" x14ac:dyDescent="0.3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8.4" customHeight="1" thickBot="1" x14ac:dyDescent="0.35"/>
    <row r="4" spans="1:15" s="38" customFormat="1" ht="28.8" customHeight="1" x14ac:dyDescent="0.3">
      <c r="A4" s="34" t="s">
        <v>2</v>
      </c>
      <c r="B4" s="35" t="s">
        <v>3</v>
      </c>
      <c r="C4" s="35" t="s">
        <v>4</v>
      </c>
      <c r="D4" s="64" t="s">
        <v>5</v>
      </c>
      <c r="E4" s="35" t="s">
        <v>6</v>
      </c>
      <c r="F4" s="36" t="s">
        <v>7</v>
      </c>
      <c r="G4" s="34" t="s">
        <v>8</v>
      </c>
      <c r="H4" s="35" t="s">
        <v>9</v>
      </c>
      <c r="I4" s="35" t="s">
        <v>10</v>
      </c>
      <c r="J4" s="36" t="s">
        <v>11</v>
      </c>
      <c r="K4" s="34" t="s">
        <v>12</v>
      </c>
      <c r="L4" s="35" t="s">
        <v>13</v>
      </c>
      <c r="M4" s="35" t="s">
        <v>14</v>
      </c>
      <c r="N4" s="36" t="s">
        <v>15</v>
      </c>
      <c r="O4" s="37" t="s">
        <v>16</v>
      </c>
    </row>
    <row r="5" spans="1:15" ht="41.4" x14ac:dyDescent="0.3">
      <c r="A5" s="39" t="s">
        <v>17</v>
      </c>
      <c r="B5" s="40" t="s">
        <v>18</v>
      </c>
      <c r="C5" s="41" t="s">
        <v>19</v>
      </c>
      <c r="D5" s="65" t="s">
        <v>20</v>
      </c>
      <c r="E5" s="41" t="s">
        <v>21</v>
      </c>
      <c r="F5" s="42" t="s">
        <v>22</v>
      </c>
      <c r="G5" s="43" t="s">
        <v>23</v>
      </c>
      <c r="H5" s="44" t="s">
        <v>23</v>
      </c>
      <c r="I5" s="44" t="s">
        <v>24</v>
      </c>
      <c r="J5" s="45" t="s">
        <v>23</v>
      </c>
      <c r="K5" s="46" t="s">
        <v>25</v>
      </c>
      <c r="L5" s="47" t="s">
        <v>25</v>
      </c>
      <c r="M5" s="47" t="s">
        <v>25</v>
      </c>
      <c r="N5" s="48" t="s">
        <v>25</v>
      </c>
      <c r="O5" s="49" t="s">
        <v>26</v>
      </c>
    </row>
    <row r="6" spans="1:15" x14ac:dyDescent="0.3">
      <c r="A6" s="39" t="s">
        <v>27</v>
      </c>
      <c r="B6" s="40" t="s">
        <v>18</v>
      </c>
      <c r="C6" s="41" t="s">
        <v>19</v>
      </c>
      <c r="D6" s="65" t="s">
        <v>28</v>
      </c>
      <c r="E6" s="41" t="s">
        <v>21</v>
      </c>
      <c r="F6" s="42" t="s">
        <v>29</v>
      </c>
      <c r="G6" s="43" t="s">
        <v>23</v>
      </c>
      <c r="H6" s="44" t="s">
        <v>23</v>
      </c>
      <c r="I6" s="44" t="s">
        <v>24</v>
      </c>
      <c r="J6" s="45" t="s">
        <v>24</v>
      </c>
      <c r="K6" s="46" t="s">
        <v>25</v>
      </c>
      <c r="L6" s="47" t="s">
        <v>25</v>
      </c>
      <c r="M6" s="47" t="s">
        <v>25</v>
      </c>
      <c r="N6" s="48" t="s">
        <v>25</v>
      </c>
      <c r="O6" s="49" t="s">
        <v>30</v>
      </c>
    </row>
    <row r="7" spans="1:15" x14ac:dyDescent="0.3">
      <c r="A7" s="39" t="s">
        <v>31</v>
      </c>
      <c r="B7" s="40" t="s">
        <v>18</v>
      </c>
      <c r="C7" s="41" t="s">
        <v>19</v>
      </c>
      <c r="D7" s="65" t="s">
        <v>32</v>
      </c>
      <c r="E7" s="41" t="s">
        <v>21</v>
      </c>
      <c r="F7" s="42" t="s">
        <v>29</v>
      </c>
      <c r="G7" s="43" t="s">
        <v>23</v>
      </c>
      <c r="H7" s="44" t="s">
        <v>23</v>
      </c>
      <c r="I7" s="44" t="s">
        <v>24</v>
      </c>
      <c r="J7" s="45" t="s">
        <v>24</v>
      </c>
      <c r="K7" s="46" t="s">
        <v>25</v>
      </c>
      <c r="L7" s="47" t="s">
        <v>25</v>
      </c>
      <c r="M7" s="50" t="s">
        <v>33</v>
      </c>
      <c r="N7" s="48" t="s">
        <v>25</v>
      </c>
      <c r="O7" s="49" t="s">
        <v>34</v>
      </c>
    </row>
    <row r="8" spans="1:15" x14ac:dyDescent="0.3">
      <c r="A8" s="39" t="s">
        <v>35</v>
      </c>
      <c r="B8" s="40" t="s">
        <v>36</v>
      </c>
      <c r="C8" s="41" t="s">
        <v>37</v>
      </c>
      <c r="D8" s="65" t="s">
        <v>38</v>
      </c>
      <c r="E8" s="41" t="s">
        <v>21</v>
      </c>
      <c r="F8" s="42" t="s">
        <v>29</v>
      </c>
      <c r="G8" s="43" t="s">
        <v>23</v>
      </c>
      <c r="H8" s="44" t="s">
        <v>24</v>
      </c>
      <c r="I8" s="44" t="s">
        <v>24</v>
      </c>
      <c r="J8" s="45" t="s">
        <v>23</v>
      </c>
      <c r="K8" s="46" t="s">
        <v>25</v>
      </c>
      <c r="L8" s="47" t="s">
        <v>25</v>
      </c>
      <c r="M8" s="47" t="s">
        <v>25</v>
      </c>
      <c r="N8" s="48" t="s">
        <v>25</v>
      </c>
      <c r="O8" s="49" t="s">
        <v>30</v>
      </c>
    </row>
    <row r="9" spans="1:15" x14ac:dyDescent="0.3">
      <c r="A9" s="39" t="s">
        <v>39</v>
      </c>
      <c r="B9" s="40" t="s">
        <v>40</v>
      </c>
      <c r="C9" s="41" t="s">
        <v>37</v>
      </c>
      <c r="D9" s="65" t="s">
        <v>41</v>
      </c>
      <c r="E9" s="41" t="s">
        <v>21</v>
      </c>
      <c r="F9" s="42" t="s">
        <v>29</v>
      </c>
      <c r="G9" s="43" t="s">
        <v>23</v>
      </c>
      <c r="H9" s="44" t="s">
        <v>23</v>
      </c>
      <c r="I9" s="44" t="s">
        <v>23</v>
      </c>
      <c r="J9" s="45" t="s">
        <v>23</v>
      </c>
      <c r="K9" s="46" t="s">
        <v>25</v>
      </c>
      <c r="L9" s="47" t="s">
        <v>25</v>
      </c>
      <c r="M9" s="47" t="s">
        <v>25</v>
      </c>
      <c r="N9" s="48" t="s">
        <v>25</v>
      </c>
      <c r="O9" s="49" t="s">
        <v>30</v>
      </c>
    </row>
    <row r="10" spans="1:15" x14ac:dyDescent="0.3">
      <c r="A10" s="39" t="s">
        <v>42</v>
      </c>
      <c r="B10" s="40" t="s">
        <v>36</v>
      </c>
      <c r="C10" s="41" t="s">
        <v>37</v>
      </c>
      <c r="D10" s="65" t="s">
        <v>43</v>
      </c>
      <c r="E10" s="41" t="s">
        <v>21</v>
      </c>
      <c r="F10" s="42" t="s">
        <v>29</v>
      </c>
      <c r="G10" s="43" t="s">
        <v>23</v>
      </c>
      <c r="H10" s="44" t="s">
        <v>23</v>
      </c>
      <c r="I10" s="44" t="s">
        <v>23</v>
      </c>
      <c r="J10" s="45" t="s">
        <v>23</v>
      </c>
      <c r="K10" s="46" t="s">
        <v>25</v>
      </c>
      <c r="L10" s="47" t="s">
        <v>25</v>
      </c>
      <c r="M10" s="47" t="s">
        <v>25</v>
      </c>
      <c r="N10" s="48" t="s">
        <v>25</v>
      </c>
      <c r="O10" s="49" t="s">
        <v>30</v>
      </c>
    </row>
    <row r="11" spans="1:15" x14ac:dyDescent="0.3">
      <c r="A11" s="39" t="s">
        <v>44</v>
      </c>
      <c r="B11" s="40" t="s">
        <v>36</v>
      </c>
      <c r="C11" s="41" t="s">
        <v>37</v>
      </c>
      <c r="D11" s="65" t="s">
        <v>45</v>
      </c>
      <c r="E11" s="41" t="s">
        <v>46</v>
      </c>
      <c r="F11" s="42" t="s">
        <v>29</v>
      </c>
      <c r="G11" s="43" t="s">
        <v>23</v>
      </c>
      <c r="H11" s="44" t="s">
        <v>47</v>
      </c>
      <c r="I11" s="44" t="s">
        <v>47</v>
      </c>
      <c r="J11" s="45" t="s">
        <v>47</v>
      </c>
      <c r="K11" s="46" t="s">
        <v>25</v>
      </c>
      <c r="L11" s="47" t="s">
        <v>25</v>
      </c>
      <c r="M11" s="47" t="s">
        <v>25</v>
      </c>
      <c r="N11" s="48" t="s">
        <v>25</v>
      </c>
      <c r="O11" s="49" t="s">
        <v>30</v>
      </c>
    </row>
    <row r="12" spans="1:15" x14ac:dyDescent="0.3">
      <c r="A12" s="39" t="s">
        <v>48</v>
      </c>
      <c r="B12" s="40" t="s">
        <v>36</v>
      </c>
      <c r="C12" s="41" t="s">
        <v>37</v>
      </c>
      <c r="D12" s="65" t="s">
        <v>49</v>
      </c>
      <c r="E12" s="41" t="s">
        <v>46</v>
      </c>
      <c r="F12" s="42" t="s">
        <v>29</v>
      </c>
      <c r="G12" s="43" t="s">
        <v>23</v>
      </c>
      <c r="H12" s="44" t="s">
        <v>47</v>
      </c>
      <c r="I12" s="44" t="s">
        <v>47</v>
      </c>
      <c r="J12" s="45" t="s">
        <v>47</v>
      </c>
      <c r="K12" s="46" t="s">
        <v>25</v>
      </c>
      <c r="L12" s="47" t="s">
        <v>25</v>
      </c>
      <c r="M12" s="47" t="s">
        <v>25</v>
      </c>
      <c r="N12" s="48" t="s">
        <v>25</v>
      </c>
      <c r="O12" s="49" t="s">
        <v>30</v>
      </c>
    </row>
    <row r="13" spans="1:15" x14ac:dyDescent="0.3">
      <c r="A13" s="39" t="s">
        <v>50</v>
      </c>
      <c r="B13" s="40" t="s">
        <v>36</v>
      </c>
      <c r="C13" s="41" t="s">
        <v>37</v>
      </c>
      <c r="D13" s="65" t="s">
        <v>51</v>
      </c>
      <c r="E13" s="41" t="s">
        <v>21</v>
      </c>
      <c r="F13" s="42" t="s">
        <v>29</v>
      </c>
      <c r="G13" s="43" t="s">
        <v>23</v>
      </c>
      <c r="H13" s="44" t="s">
        <v>47</v>
      </c>
      <c r="I13" s="44" t="s">
        <v>47</v>
      </c>
      <c r="J13" s="45" t="s">
        <v>47</v>
      </c>
      <c r="K13" s="46" t="s">
        <v>25</v>
      </c>
      <c r="L13" s="47" t="s">
        <v>25</v>
      </c>
      <c r="M13" s="47" t="s">
        <v>25</v>
      </c>
      <c r="N13" s="48" t="s">
        <v>25</v>
      </c>
      <c r="O13" s="49" t="s">
        <v>30</v>
      </c>
    </row>
    <row r="14" spans="1:15" ht="27.6" x14ac:dyDescent="0.3">
      <c r="A14" s="39" t="s">
        <v>52</v>
      </c>
      <c r="B14" s="40" t="s">
        <v>36</v>
      </c>
      <c r="C14" s="41" t="s">
        <v>37</v>
      </c>
      <c r="D14" s="65" t="s">
        <v>53</v>
      </c>
      <c r="E14" s="41" t="s">
        <v>21</v>
      </c>
      <c r="F14" s="42" t="s">
        <v>22</v>
      </c>
      <c r="G14" s="43" t="s">
        <v>23</v>
      </c>
      <c r="H14" s="44" t="s">
        <v>23</v>
      </c>
      <c r="I14" s="44" t="s">
        <v>23</v>
      </c>
      <c r="J14" s="45" t="s">
        <v>23</v>
      </c>
      <c r="K14" s="46" t="s">
        <v>25</v>
      </c>
      <c r="L14" s="47" t="s">
        <v>25</v>
      </c>
      <c r="M14" s="47" t="s">
        <v>25</v>
      </c>
      <c r="N14" s="48" t="s">
        <v>25</v>
      </c>
      <c r="O14" s="49" t="s">
        <v>54</v>
      </c>
    </row>
    <row r="15" spans="1:15" x14ac:dyDescent="0.3">
      <c r="A15" s="39" t="s">
        <v>55</v>
      </c>
      <c r="B15" s="40" t="s">
        <v>56</v>
      </c>
      <c r="C15" s="41" t="s">
        <v>57</v>
      </c>
      <c r="D15" s="65" t="s">
        <v>58</v>
      </c>
      <c r="E15" s="41" t="s">
        <v>21</v>
      </c>
      <c r="F15" s="42" t="s">
        <v>22</v>
      </c>
      <c r="G15" s="43" t="s">
        <v>23</v>
      </c>
      <c r="H15" s="44" t="s">
        <v>23</v>
      </c>
      <c r="I15" s="44" t="s">
        <v>23</v>
      </c>
      <c r="J15" s="45" t="s">
        <v>23</v>
      </c>
      <c r="K15" s="46" t="s">
        <v>25</v>
      </c>
      <c r="L15" s="47" t="s">
        <v>25</v>
      </c>
      <c r="M15" s="47" t="s">
        <v>25</v>
      </c>
      <c r="N15" s="48" t="s">
        <v>25</v>
      </c>
      <c r="O15" s="49" t="s">
        <v>59</v>
      </c>
    </row>
    <row r="16" spans="1:15" ht="41.4" x14ac:dyDescent="0.3">
      <c r="A16" s="39" t="s">
        <v>60</v>
      </c>
      <c r="B16" s="40" t="s">
        <v>61</v>
      </c>
      <c r="C16" s="41" t="s">
        <v>57</v>
      </c>
      <c r="D16" s="65" t="s">
        <v>62</v>
      </c>
      <c r="E16" s="41" t="s">
        <v>21</v>
      </c>
      <c r="F16" s="42" t="s">
        <v>22</v>
      </c>
      <c r="G16" s="43" t="s">
        <v>47</v>
      </c>
      <c r="H16" s="44" t="s">
        <v>47</v>
      </c>
      <c r="I16" s="44" t="s">
        <v>23</v>
      </c>
      <c r="J16" s="45" t="s">
        <v>23</v>
      </c>
      <c r="K16" s="46" t="s">
        <v>25</v>
      </c>
      <c r="L16" s="47" t="s">
        <v>25</v>
      </c>
      <c r="M16" s="47" t="s">
        <v>25</v>
      </c>
      <c r="N16" s="48" t="s">
        <v>25</v>
      </c>
      <c r="O16" s="49" t="s">
        <v>63</v>
      </c>
    </row>
    <row r="17" spans="1:15" x14ac:dyDescent="0.3">
      <c r="A17" s="39" t="s">
        <v>64</v>
      </c>
      <c r="B17" s="40" t="s">
        <v>61</v>
      </c>
      <c r="C17" s="41" t="s">
        <v>57</v>
      </c>
      <c r="D17" s="65" t="s">
        <v>65</v>
      </c>
      <c r="E17" s="41" t="s">
        <v>46</v>
      </c>
      <c r="F17" s="42" t="s">
        <v>29</v>
      </c>
      <c r="G17" s="43" t="s">
        <v>23</v>
      </c>
      <c r="H17" s="44" t="s">
        <v>23</v>
      </c>
      <c r="I17" s="44" t="s">
        <v>23</v>
      </c>
      <c r="J17" s="45" t="s">
        <v>23</v>
      </c>
      <c r="K17" s="46" t="s">
        <v>25</v>
      </c>
      <c r="L17" s="47" t="s">
        <v>25</v>
      </c>
      <c r="M17" s="47" t="s">
        <v>25</v>
      </c>
      <c r="N17" s="48" t="s">
        <v>25</v>
      </c>
      <c r="O17" s="49" t="s">
        <v>30</v>
      </c>
    </row>
    <row r="18" spans="1:15" ht="27.6" x14ac:dyDescent="0.3">
      <c r="A18" s="39" t="s">
        <v>66</v>
      </c>
      <c r="B18" s="40" t="s">
        <v>67</v>
      </c>
      <c r="C18" s="41" t="s">
        <v>68</v>
      </c>
      <c r="D18" s="65" t="s">
        <v>69</v>
      </c>
      <c r="E18" s="41" t="s">
        <v>21</v>
      </c>
      <c r="F18" s="42" t="s">
        <v>70</v>
      </c>
      <c r="G18" s="43" t="s">
        <v>23</v>
      </c>
      <c r="H18" s="44" t="s">
        <v>23</v>
      </c>
      <c r="I18" s="44" t="s">
        <v>23</v>
      </c>
      <c r="J18" s="45" t="s">
        <v>23</v>
      </c>
      <c r="K18" s="46" t="s">
        <v>25</v>
      </c>
      <c r="L18" s="47" t="s">
        <v>25</v>
      </c>
      <c r="M18" s="50" t="s">
        <v>33</v>
      </c>
      <c r="N18" s="51" t="s">
        <v>33</v>
      </c>
      <c r="O18" s="49" t="s">
        <v>71</v>
      </c>
    </row>
    <row r="19" spans="1:15" ht="27.6" x14ac:dyDescent="0.3">
      <c r="A19" s="39" t="s">
        <v>72</v>
      </c>
      <c r="B19" s="40" t="s">
        <v>18</v>
      </c>
      <c r="C19" s="41" t="s">
        <v>68</v>
      </c>
      <c r="D19" s="65" t="s">
        <v>73</v>
      </c>
      <c r="E19" s="41" t="s">
        <v>21</v>
      </c>
      <c r="F19" s="42" t="s">
        <v>22</v>
      </c>
      <c r="G19" s="43" t="s">
        <v>23</v>
      </c>
      <c r="H19" s="44" t="s">
        <v>23</v>
      </c>
      <c r="I19" s="44" t="s">
        <v>24</v>
      </c>
      <c r="J19" s="45" t="s">
        <v>24</v>
      </c>
      <c r="K19" s="46" t="s">
        <v>25</v>
      </c>
      <c r="L19" s="47" t="s">
        <v>25</v>
      </c>
      <c r="M19" s="50" t="s">
        <v>33</v>
      </c>
      <c r="N19" s="51" t="s">
        <v>33</v>
      </c>
      <c r="O19" s="49" t="s">
        <v>74</v>
      </c>
    </row>
    <row r="20" spans="1:15" ht="27.6" x14ac:dyDescent="0.3">
      <c r="A20" s="39" t="s">
        <v>75</v>
      </c>
      <c r="B20" s="40" t="s">
        <v>67</v>
      </c>
      <c r="C20" s="41" t="s">
        <v>68</v>
      </c>
      <c r="D20" s="65" t="s">
        <v>76</v>
      </c>
      <c r="E20" s="41" t="s">
        <v>21</v>
      </c>
      <c r="F20" s="42" t="s">
        <v>70</v>
      </c>
      <c r="G20" s="43" t="s">
        <v>23</v>
      </c>
      <c r="H20" s="44" t="s">
        <v>23</v>
      </c>
      <c r="I20" s="44" t="s">
        <v>24</v>
      </c>
      <c r="J20" s="45" t="s">
        <v>24</v>
      </c>
      <c r="K20" s="46" t="s">
        <v>25</v>
      </c>
      <c r="L20" s="47" t="s">
        <v>25</v>
      </c>
      <c r="M20" s="50" t="s">
        <v>33</v>
      </c>
      <c r="N20" s="51" t="s">
        <v>33</v>
      </c>
      <c r="O20" s="49" t="s">
        <v>77</v>
      </c>
    </row>
    <row r="21" spans="1:15" ht="55.2" x14ac:dyDescent="0.3">
      <c r="A21" s="39" t="s">
        <v>78</v>
      </c>
      <c r="B21" s="40" t="s">
        <v>79</v>
      </c>
      <c r="C21" s="41" t="s">
        <v>68</v>
      </c>
      <c r="D21" s="65" t="s">
        <v>80</v>
      </c>
      <c r="E21" s="41" t="s">
        <v>46</v>
      </c>
      <c r="F21" s="42" t="s">
        <v>70</v>
      </c>
      <c r="G21" s="43" t="s">
        <v>23</v>
      </c>
      <c r="H21" s="44" t="s">
        <v>47</v>
      </c>
      <c r="I21" s="44" t="s">
        <v>47</v>
      </c>
      <c r="J21" s="45" t="s">
        <v>47</v>
      </c>
      <c r="K21" s="46" t="s">
        <v>25</v>
      </c>
      <c r="L21" s="47" t="s">
        <v>25</v>
      </c>
      <c r="M21" s="50" t="s">
        <v>33</v>
      </c>
      <c r="N21" s="48" t="s">
        <v>25</v>
      </c>
      <c r="O21" s="49" t="s">
        <v>81</v>
      </c>
    </row>
    <row r="22" spans="1:15" ht="27.6" x14ac:dyDescent="0.3">
      <c r="A22" s="39" t="s">
        <v>82</v>
      </c>
      <c r="B22" s="40" t="s">
        <v>83</v>
      </c>
      <c r="C22" s="41" t="s">
        <v>84</v>
      </c>
      <c r="D22" s="65" t="s">
        <v>85</v>
      </c>
      <c r="E22" s="41" t="s">
        <v>21</v>
      </c>
      <c r="F22" s="42" t="s">
        <v>29</v>
      </c>
      <c r="G22" s="43" t="s">
        <v>23</v>
      </c>
      <c r="H22" s="44" t="s">
        <v>24</v>
      </c>
      <c r="I22" s="44" t="s">
        <v>24</v>
      </c>
      <c r="J22" s="45" t="s">
        <v>24</v>
      </c>
      <c r="K22" s="46" t="s">
        <v>25</v>
      </c>
      <c r="L22" s="47" t="s">
        <v>25</v>
      </c>
      <c r="M22" s="50" t="s">
        <v>33</v>
      </c>
      <c r="N22" s="51" t="s">
        <v>33</v>
      </c>
      <c r="O22" s="49" t="s">
        <v>86</v>
      </c>
    </row>
    <row r="23" spans="1:15" ht="27.6" x14ac:dyDescent="0.3">
      <c r="A23" s="39" t="s">
        <v>87</v>
      </c>
      <c r="B23" s="40" t="s">
        <v>83</v>
      </c>
      <c r="C23" s="41" t="s">
        <v>84</v>
      </c>
      <c r="D23" s="65" t="s">
        <v>88</v>
      </c>
      <c r="E23" s="41" t="s">
        <v>21</v>
      </c>
      <c r="F23" s="42" t="s">
        <v>29</v>
      </c>
      <c r="G23" s="43" t="s">
        <v>23</v>
      </c>
      <c r="H23" s="44" t="s">
        <v>24</v>
      </c>
      <c r="I23" s="44" t="s">
        <v>24</v>
      </c>
      <c r="J23" s="45" t="s">
        <v>24</v>
      </c>
      <c r="K23" s="46" t="s">
        <v>25</v>
      </c>
      <c r="L23" s="47" t="s">
        <v>25</v>
      </c>
      <c r="M23" s="50" t="s">
        <v>33</v>
      </c>
      <c r="N23" s="51" t="s">
        <v>33</v>
      </c>
      <c r="O23" s="49" t="s">
        <v>86</v>
      </c>
    </row>
    <row r="24" spans="1:15" x14ac:dyDescent="0.3">
      <c r="A24" s="39" t="s">
        <v>89</v>
      </c>
      <c r="B24" s="40" t="s">
        <v>90</v>
      </c>
      <c r="C24" s="41" t="s">
        <v>91</v>
      </c>
      <c r="D24" s="65" t="s">
        <v>92</v>
      </c>
      <c r="E24" s="41" t="s">
        <v>21</v>
      </c>
      <c r="F24" s="42" t="s">
        <v>29</v>
      </c>
      <c r="G24" s="43" t="s">
        <v>23</v>
      </c>
      <c r="H24" s="44" t="s">
        <v>24</v>
      </c>
      <c r="I24" s="44" t="s">
        <v>24</v>
      </c>
      <c r="J24" s="45" t="s">
        <v>24</v>
      </c>
      <c r="K24" s="46" t="s">
        <v>25</v>
      </c>
      <c r="L24" s="47" t="s">
        <v>25</v>
      </c>
      <c r="M24" s="50" t="s">
        <v>33</v>
      </c>
      <c r="N24" s="51" t="s">
        <v>33</v>
      </c>
      <c r="O24" s="49" t="s">
        <v>93</v>
      </c>
    </row>
    <row r="25" spans="1:15" x14ac:dyDescent="0.3">
      <c r="A25" s="39" t="s">
        <v>94</v>
      </c>
      <c r="B25" s="40" t="s">
        <v>95</v>
      </c>
      <c r="C25" s="41" t="s">
        <v>91</v>
      </c>
      <c r="D25" s="65" t="s">
        <v>96</v>
      </c>
      <c r="E25" s="41" t="s">
        <v>21</v>
      </c>
      <c r="F25" s="42" t="s">
        <v>29</v>
      </c>
      <c r="G25" s="43" t="s">
        <v>23</v>
      </c>
      <c r="H25" s="44" t="s">
        <v>47</v>
      </c>
      <c r="I25" s="44" t="s">
        <v>47</v>
      </c>
      <c r="J25" s="45" t="s">
        <v>47</v>
      </c>
      <c r="K25" s="46" t="s">
        <v>25</v>
      </c>
      <c r="L25" s="47" t="s">
        <v>25</v>
      </c>
      <c r="M25" s="50" t="s">
        <v>33</v>
      </c>
      <c r="N25" s="51" t="s">
        <v>33</v>
      </c>
      <c r="O25" s="49" t="s">
        <v>93</v>
      </c>
    </row>
    <row r="26" spans="1:15" ht="27.6" x14ac:dyDescent="0.3">
      <c r="A26" s="39" t="s">
        <v>97</v>
      </c>
      <c r="B26" s="40" t="s">
        <v>98</v>
      </c>
      <c r="C26" s="41" t="s">
        <v>91</v>
      </c>
      <c r="D26" s="65" t="s">
        <v>99</v>
      </c>
      <c r="E26" s="41" t="s">
        <v>46</v>
      </c>
      <c r="F26" s="42" t="s">
        <v>22</v>
      </c>
      <c r="G26" s="43" t="s">
        <v>24</v>
      </c>
      <c r="H26" s="44" t="s">
        <v>47</v>
      </c>
      <c r="I26" s="44" t="s">
        <v>47</v>
      </c>
      <c r="J26" s="45" t="s">
        <v>47</v>
      </c>
      <c r="K26" s="52" t="s">
        <v>33</v>
      </c>
      <c r="L26" s="47" t="s">
        <v>25</v>
      </c>
      <c r="M26" s="50" t="s">
        <v>33</v>
      </c>
      <c r="N26" s="51" t="s">
        <v>33</v>
      </c>
      <c r="O26" s="49" t="s">
        <v>100</v>
      </c>
    </row>
    <row r="27" spans="1:15" ht="41.4" x14ac:dyDescent="0.3">
      <c r="A27" s="39" t="s">
        <v>101</v>
      </c>
      <c r="B27" s="40" t="s">
        <v>102</v>
      </c>
      <c r="C27" s="41" t="s">
        <v>103</v>
      </c>
      <c r="D27" s="65" t="s">
        <v>104</v>
      </c>
      <c r="E27" s="41" t="s">
        <v>21</v>
      </c>
      <c r="F27" s="42" t="s">
        <v>29</v>
      </c>
      <c r="G27" s="43" t="s">
        <v>23</v>
      </c>
      <c r="H27" s="44" t="s">
        <v>24</v>
      </c>
      <c r="I27" s="44" t="s">
        <v>24</v>
      </c>
      <c r="J27" s="45" t="s">
        <v>24</v>
      </c>
      <c r="K27" s="46" t="s">
        <v>25</v>
      </c>
      <c r="L27" s="47" t="s">
        <v>25</v>
      </c>
      <c r="M27" s="50" t="s">
        <v>33</v>
      </c>
      <c r="N27" s="51" t="s">
        <v>33</v>
      </c>
      <c r="O27" s="49" t="s">
        <v>105</v>
      </c>
    </row>
    <row r="28" spans="1:15" ht="27.6" x14ac:dyDescent="0.3">
      <c r="A28" s="39" t="s">
        <v>106</v>
      </c>
      <c r="B28" s="40" t="s">
        <v>102</v>
      </c>
      <c r="C28" s="41" t="s">
        <v>103</v>
      </c>
      <c r="D28" s="65" t="s">
        <v>107</v>
      </c>
      <c r="E28" s="41" t="s">
        <v>21</v>
      </c>
      <c r="F28" s="42" t="s">
        <v>29</v>
      </c>
      <c r="G28" s="43" t="s">
        <v>23</v>
      </c>
      <c r="H28" s="44" t="s">
        <v>24</v>
      </c>
      <c r="I28" s="44" t="s">
        <v>24</v>
      </c>
      <c r="J28" s="45" t="s">
        <v>24</v>
      </c>
      <c r="K28" s="46" t="s">
        <v>25</v>
      </c>
      <c r="L28" s="47" t="s">
        <v>25</v>
      </c>
      <c r="M28" s="50" t="s">
        <v>33</v>
      </c>
      <c r="N28" s="51" t="s">
        <v>33</v>
      </c>
      <c r="O28" s="49" t="s">
        <v>108</v>
      </c>
    </row>
    <row r="29" spans="1:15" ht="27.6" x14ac:dyDescent="0.3">
      <c r="A29" s="39" t="s">
        <v>109</v>
      </c>
      <c r="B29" s="40" t="s">
        <v>102</v>
      </c>
      <c r="C29" s="41" t="s">
        <v>103</v>
      </c>
      <c r="D29" s="65" t="s">
        <v>110</v>
      </c>
      <c r="E29" s="41" t="s">
        <v>21</v>
      </c>
      <c r="F29" s="42" t="s">
        <v>29</v>
      </c>
      <c r="G29" s="43" t="s">
        <v>23</v>
      </c>
      <c r="H29" s="44" t="s">
        <v>24</v>
      </c>
      <c r="I29" s="44" t="s">
        <v>24</v>
      </c>
      <c r="J29" s="45" t="s">
        <v>24</v>
      </c>
      <c r="K29" s="46" t="s">
        <v>25</v>
      </c>
      <c r="L29" s="47" t="s">
        <v>25</v>
      </c>
      <c r="M29" s="50" t="s">
        <v>33</v>
      </c>
      <c r="N29" s="51" t="s">
        <v>33</v>
      </c>
      <c r="O29" s="49" t="s">
        <v>108</v>
      </c>
    </row>
    <row r="30" spans="1:15" ht="27.6" x14ac:dyDescent="0.3">
      <c r="A30" s="39" t="s">
        <v>111</v>
      </c>
      <c r="B30" s="40" t="s">
        <v>112</v>
      </c>
      <c r="C30" s="41" t="s">
        <v>103</v>
      </c>
      <c r="D30" s="65" t="s">
        <v>113</v>
      </c>
      <c r="E30" s="41" t="s">
        <v>21</v>
      </c>
      <c r="F30" s="42" t="s">
        <v>29</v>
      </c>
      <c r="G30" s="43" t="s">
        <v>23</v>
      </c>
      <c r="H30" s="44" t="s">
        <v>24</v>
      </c>
      <c r="I30" s="44" t="s">
        <v>24</v>
      </c>
      <c r="J30" s="45" t="s">
        <v>24</v>
      </c>
      <c r="K30" s="46" t="s">
        <v>25</v>
      </c>
      <c r="L30" s="47" t="s">
        <v>25</v>
      </c>
      <c r="M30" s="50" t="s">
        <v>33</v>
      </c>
      <c r="N30" s="51" t="s">
        <v>33</v>
      </c>
      <c r="O30" s="49" t="s">
        <v>108</v>
      </c>
    </row>
    <row r="31" spans="1:15" ht="28.2" thickBot="1" x14ac:dyDescent="0.35">
      <c r="A31" s="53" t="s">
        <v>114</v>
      </c>
      <c r="B31" s="54" t="s">
        <v>102</v>
      </c>
      <c r="C31" s="55" t="s">
        <v>103</v>
      </c>
      <c r="D31" s="66" t="s">
        <v>115</v>
      </c>
      <c r="E31" s="55" t="s">
        <v>21</v>
      </c>
      <c r="F31" s="56" t="s">
        <v>29</v>
      </c>
      <c r="G31" s="57" t="s">
        <v>23</v>
      </c>
      <c r="H31" s="58" t="s">
        <v>24</v>
      </c>
      <c r="I31" s="58" t="s">
        <v>24</v>
      </c>
      <c r="J31" s="59" t="s">
        <v>24</v>
      </c>
      <c r="K31" s="60" t="s">
        <v>25</v>
      </c>
      <c r="L31" s="61" t="s">
        <v>25</v>
      </c>
      <c r="M31" s="62" t="s">
        <v>33</v>
      </c>
      <c r="N31" s="63" t="s">
        <v>33</v>
      </c>
      <c r="O31" s="49" t="s">
        <v>108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B21" sqref="B21"/>
    </sheetView>
  </sheetViews>
  <sheetFormatPr baseColWidth="10" defaultRowHeight="14.4" x14ac:dyDescent="0.3"/>
  <cols>
    <col min="1" max="1" width="11.21875" style="11" customWidth="1"/>
    <col min="2" max="2" width="45.88671875" style="12" bestFit="1" customWidth="1"/>
    <col min="3" max="3" width="58.5546875" style="12" customWidth="1"/>
    <col min="4" max="6" width="11.5546875" customWidth="1"/>
  </cols>
  <sheetData>
    <row r="1" spans="1:3" ht="28.8" customHeight="1" x14ac:dyDescent="0.3">
      <c r="A1" s="25" t="s">
        <v>132</v>
      </c>
      <c r="B1" s="26"/>
      <c r="C1" s="26"/>
    </row>
    <row r="2" spans="1:3" x14ac:dyDescent="0.3">
      <c r="A2" s="27" t="s">
        <v>133</v>
      </c>
      <c r="B2" s="26"/>
      <c r="C2" s="26"/>
    </row>
    <row r="3" spans="1:3" x14ac:dyDescent="0.3">
      <c r="A3" s="21"/>
      <c r="B3" s="21"/>
      <c r="C3" s="21"/>
    </row>
    <row r="4" spans="1:3" x14ac:dyDescent="0.3">
      <c r="A4" s="13" t="s">
        <v>3</v>
      </c>
      <c r="B4" s="14" t="s">
        <v>134</v>
      </c>
      <c r="C4" s="14" t="s">
        <v>135</v>
      </c>
    </row>
    <row r="5" spans="1:3" s="20" customFormat="1" x14ac:dyDescent="0.3">
      <c r="A5" s="18" t="s">
        <v>18</v>
      </c>
      <c r="B5" s="19" t="s">
        <v>136</v>
      </c>
      <c r="C5" s="19" t="s">
        <v>137</v>
      </c>
    </row>
    <row r="6" spans="1:3" s="20" customFormat="1" x14ac:dyDescent="0.3">
      <c r="A6" s="18" t="s">
        <v>36</v>
      </c>
      <c r="B6" s="19" t="s">
        <v>138</v>
      </c>
      <c r="C6" s="19" t="s">
        <v>139</v>
      </c>
    </row>
    <row r="7" spans="1:3" s="20" customFormat="1" x14ac:dyDescent="0.3">
      <c r="A7" s="18" t="s">
        <v>40</v>
      </c>
      <c r="B7" s="19" t="s">
        <v>140</v>
      </c>
      <c r="C7" s="19" t="s">
        <v>141</v>
      </c>
    </row>
    <row r="8" spans="1:3" s="20" customFormat="1" x14ac:dyDescent="0.3">
      <c r="A8" s="18" t="s">
        <v>61</v>
      </c>
      <c r="B8" s="19" t="s">
        <v>142</v>
      </c>
      <c r="C8" s="19" t="s">
        <v>143</v>
      </c>
    </row>
    <row r="9" spans="1:3" s="20" customFormat="1" x14ac:dyDescent="0.3">
      <c r="A9" s="18" t="s">
        <v>67</v>
      </c>
      <c r="B9" s="19" t="s">
        <v>144</v>
      </c>
      <c r="C9" s="19" t="s">
        <v>145</v>
      </c>
    </row>
    <row r="10" spans="1:3" s="20" customFormat="1" x14ac:dyDescent="0.3">
      <c r="A10" s="18" t="s">
        <v>83</v>
      </c>
      <c r="B10" s="19" t="s">
        <v>146</v>
      </c>
      <c r="C10" s="19" t="s">
        <v>147</v>
      </c>
    </row>
    <row r="11" spans="1:3" s="20" customFormat="1" x14ac:dyDescent="0.3">
      <c r="A11" s="18" t="s">
        <v>90</v>
      </c>
      <c r="B11" s="19" t="s">
        <v>148</v>
      </c>
      <c r="C11" s="19" t="s">
        <v>89</v>
      </c>
    </row>
    <row r="12" spans="1:3" s="20" customFormat="1" x14ac:dyDescent="0.3">
      <c r="A12" s="18" t="s">
        <v>79</v>
      </c>
      <c r="B12" s="19" t="s">
        <v>149</v>
      </c>
      <c r="C12" s="19" t="s">
        <v>78</v>
      </c>
    </row>
    <row r="13" spans="1:3" s="20" customFormat="1" x14ac:dyDescent="0.3">
      <c r="A13" s="18" t="s">
        <v>98</v>
      </c>
      <c r="B13" s="19" t="s">
        <v>150</v>
      </c>
      <c r="C13" s="19" t="s">
        <v>151</v>
      </c>
    </row>
    <row r="14" spans="1:3" s="20" customFormat="1" x14ac:dyDescent="0.3">
      <c r="A14" s="18" t="s">
        <v>95</v>
      </c>
      <c r="B14" s="19" t="s">
        <v>152</v>
      </c>
      <c r="C14" s="19" t="s">
        <v>94</v>
      </c>
    </row>
    <row r="15" spans="1:3" s="20" customFormat="1" x14ac:dyDescent="0.3">
      <c r="A15" s="18" t="s">
        <v>102</v>
      </c>
      <c r="B15" s="19" t="s">
        <v>153</v>
      </c>
      <c r="C15" s="19" t="s">
        <v>154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7"/>
  <sheetViews>
    <sheetView showGridLines="0" tabSelected="1" workbookViewId="0">
      <selection activeCell="L21" sqref="L21"/>
    </sheetView>
  </sheetViews>
  <sheetFormatPr baseColWidth="10" defaultColWidth="8.88671875" defaultRowHeight="14.4" x14ac:dyDescent="0.3"/>
  <cols>
    <col min="1" max="1" width="23.33203125" customWidth="1"/>
    <col min="2" max="2" width="24.5546875" customWidth="1"/>
    <col min="3" max="3" width="12.109375" customWidth="1"/>
    <col min="4" max="4" width="15.5546875" customWidth="1"/>
    <col min="5" max="5" width="16.33203125" customWidth="1"/>
    <col min="6" max="6" width="8.88671875" customWidth="1"/>
    <col min="7" max="7" width="9.21875" customWidth="1"/>
    <col min="8" max="8" width="10.33203125" customWidth="1"/>
    <col min="9" max="9" width="10" customWidth="1"/>
    <col min="10" max="10" width="13.44140625" customWidth="1"/>
    <col min="11" max="11" width="1.6640625" customWidth="1"/>
  </cols>
  <sheetData>
    <row r="1" spans="1:11" ht="14.4" customHeight="1" x14ac:dyDescent="0.3">
      <c r="A1" s="73" t="s">
        <v>155</v>
      </c>
      <c r="B1" s="74"/>
      <c r="C1" s="74"/>
      <c r="D1" s="74"/>
      <c r="E1" s="74"/>
      <c r="F1" s="74"/>
      <c r="G1" s="74"/>
      <c r="H1" s="74"/>
      <c r="I1" s="74"/>
      <c r="J1" s="75"/>
      <c r="K1" s="1"/>
    </row>
    <row r="2" spans="1:11" ht="12.6" customHeight="1" x14ac:dyDescent="0.3">
      <c r="A2" s="77" t="s">
        <v>164</v>
      </c>
      <c r="B2" s="78"/>
      <c r="C2" s="78"/>
      <c r="D2" s="78"/>
      <c r="E2" s="78"/>
      <c r="F2" s="78"/>
      <c r="G2" s="78"/>
      <c r="H2" s="78"/>
      <c r="I2" s="78"/>
      <c r="J2" s="78"/>
      <c r="K2" s="76"/>
    </row>
    <row r="3" spans="1:11" x14ac:dyDescent="0.3">
      <c r="A3" s="5"/>
      <c r="B3" s="5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79" t="s">
        <v>156</v>
      </c>
      <c r="B4" s="7">
        <f>COUNTA('01_reporte_puente'!A5:A200)</f>
        <v>27</v>
      </c>
      <c r="C4" s="4"/>
      <c r="D4" s="1"/>
      <c r="E4" s="1"/>
      <c r="F4" s="1"/>
      <c r="G4" s="1"/>
      <c r="H4" s="1"/>
      <c r="I4" s="1"/>
      <c r="J4" s="1"/>
      <c r="K4" s="1"/>
    </row>
    <row r="5" spans="1:11" x14ac:dyDescent="0.3">
      <c r="A5" s="79" t="s">
        <v>157</v>
      </c>
      <c r="B5" s="7">
        <f>COUNTIF('01_reporte_puente'!F5:F200,"AUTOMATICA")</f>
        <v>18</v>
      </c>
      <c r="C5" s="4"/>
      <c r="D5" s="1"/>
      <c r="E5" s="1"/>
      <c r="F5" s="1"/>
      <c r="G5" s="1"/>
      <c r="H5" s="1"/>
      <c r="I5" s="1"/>
      <c r="J5" s="1"/>
      <c r="K5" s="1"/>
    </row>
    <row r="6" spans="1:11" x14ac:dyDescent="0.3">
      <c r="A6" s="79" t="s">
        <v>158</v>
      </c>
      <c r="B6" s="7">
        <f>COUNTIF('01_reporte_puente'!F5:F200,"MANUAL")</f>
        <v>6</v>
      </c>
      <c r="C6" s="4"/>
      <c r="D6" s="1"/>
      <c r="E6" s="1"/>
      <c r="F6" s="1"/>
      <c r="G6" s="1"/>
      <c r="H6" s="1"/>
      <c r="I6" s="1"/>
      <c r="J6" s="1"/>
      <c r="K6" s="1"/>
    </row>
    <row r="7" spans="1:11" x14ac:dyDescent="0.3">
      <c r="A7" s="79" t="s">
        <v>159</v>
      </c>
      <c r="B7" s="7">
        <f>COUNTIF('01_reporte_puente'!F5:F200,"MIXTA")</f>
        <v>3</v>
      </c>
      <c r="C7" s="4"/>
      <c r="D7" s="1"/>
      <c r="E7" s="1"/>
      <c r="F7" s="1"/>
      <c r="G7" s="1"/>
      <c r="H7" s="1"/>
      <c r="I7" s="1"/>
      <c r="J7" s="1"/>
      <c r="K7" s="1"/>
    </row>
    <row r="8" spans="1:11" x14ac:dyDescent="0.3">
      <c r="A8" s="79" t="s">
        <v>160</v>
      </c>
      <c r="B8" s="7">
        <f>COUNTIF('01_reporte_puente'!G5:G200,"Sin ejecución registrada")</f>
        <v>0</v>
      </c>
      <c r="C8" s="4"/>
      <c r="D8" s="1"/>
      <c r="E8" s="1"/>
      <c r="F8" s="1"/>
      <c r="G8" s="1"/>
      <c r="H8" s="1"/>
      <c r="I8" s="1"/>
      <c r="J8" s="1"/>
      <c r="K8" s="1"/>
    </row>
    <row r="9" spans="1:11" x14ac:dyDescent="0.3">
      <c r="A9" s="79" t="s">
        <v>161</v>
      </c>
      <c r="B9" s="7">
        <f>COUNTIF('01_reporte_puente'!H5:H200,"Sin ejecución registrada")</f>
        <v>0</v>
      </c>
      <c r="C9" s="4"/>
      <c r="D9" s="1"/>
      <c r="E9" s="1"/>
      <c r="F9" s="1"/>
      <c r="G9" s="1"/>
      <c r="H9" s="1"/>
      <c r="I9" s="1"/>
      <c r="J9" s="1"/>
      <c r="K9" s="1"/>
    </row>
    <row r="10" spans="1:11" x14ac:dyDescent="0.3">
      <c r="A10" s="79" t="s">
        <v>162</v>
      </c>
      <c r="B10" s="7">
        <f>COUNTIF('01_reporte_puente'!I5:I200,"Sin ejecución registrada")</f>
        <v>0</v>
      </c>
      <c r="C10" s="4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79" t="s">
        <v>163</v>
      </c>
      <c r="B11" s="7">
        <f>COUNTIF('01_reporte_puente'!J5:J200,"Sin ejecución registrada")</f>
        <v>0</v>
      </c>
      <c r="C11" s="4"/>
      <c r="D11" s="1"/>
      <c r="E11" s="1"/>
      <c r="F11" s="1"/>
      <c r="G11" s="1"/>
      <c r="H11" s="1"/>
      <c r="I11" s="1"/>
      <c r="J11" s="1"/>
      <c r="K11" s="1"/>
    </row>
    <row r="12" spans="1:11" ht="9" customHeight="1" x14ac:dyDescent="0.3">
      <c r="A12" s="6"/>
      <c r="B12" s="6"/>
      <c r="C12" s="1"/>
      <c r="D12" s="1"/>
      <c r="E12" s="1"/>
      <c r="F12" s="1"/>
      <c r="G12" s="1"/>
      <c r="H12" s="1"/>
      <c r="I12" s="1"/>
      <c r="J12" s="1"/>
      <c r="K12" s="1"/>
    </row>
    <row r="13" spans="1:11" ht="14.4" customHeight="1" x14ac:dyDescent="0.3">
      <c r="A13" s="70" t="s">
        <v>183</v>
      </c>
      <c r="B13" s="71"/>
      <c r="C13" s="71"/>
      <c r="D13" s="71"/>
      <c r="E13" s="71"/>
      <c r="F13" s="71"/>
      <c r="G13" s="71"/>
      <c r="H13" s="71"/>
      <c r="I13" s="71"/>
      <c r="J13" s="72"/>
      <c r="K13" s="3"/>
    </row>
    <row r="14" spans="1:11" x14ac:dyDescent="0.3">
      <c r="A14" s="80" t="s">
        <v>172</v>
      </c>
      <c r="B14" s="67" t="s">
        <v>184</v>
      </c>
      <c r="C14" s="68"/>
      <c r="D14" s="68"/>
      <c r="E14" s="68"/>
      <c r="F14" s="68"/>
      <c r="G14" s="68"/>
      <c r="H14" s="68"/>
      <c r="I14" s="68"/>
      <c r="J14" s="69"/>
      <c r="K14" s="3"/>
    </row>
    <row r="15" spans="1:11" x14ac:dyDescent="0.3">
      <c r="A15" s="80" t="s">
        <v>173</v>
      </c>
      <c r="B15" s="67" t="s">
        <v>185</v>
      </c>
      <c r="C15" s="68"/>
      <c r="D15" s="68"/>
      <c r="E15" s="68"/>
      <c r="F15" s="68"/>
      <c r="G15" s="68"/>
      <c r="H15" s="68"/>
      <c r="I15" s="68"/>
      <c r="J15" s="69"/>
      <c r="K15" s="3"/>
    </row>
    <row r="16" spans="1:11" x14ac:dyDescent="0.3">
      <c r="A16" s="80" t="s">
        <v>174</v>
      </c>
      <c r="B16" s="67" t="s">
        <v>186</v>
      </c>
      <c r="C16" s="68"/>
      <c r="D16" s="68"/>
      <c r="E16" s="68"/>
      <c r="F16" s="68"/>
      <c r="G16" s="68"/>
      <c r="H16" s="68"/>
      <c r="I16" s="68"/>
      <c r="J16" s="69"/>
      <c r="K16" s="3"/>
    </row>
    <row r="17" spans="1:11" x14ac:dyDescent="0.3">
      <c r="A17" s="80" t="s">
        <v>187</v>
      </c>
      <c r="B17" s="67" t="s">
        <v>188</v>
      </c>
      <c r="C17" s="68"/>
      <c r="D17" s="68"/>
      <c r="E17" s="68"/>
      <c r="F17" s="68"/>
      <c r="G17" s="68"/>
      <c r="H17" s="68"/>
      <c r="I17" s="68"/>
      <c r="J17" s="69"/>
      <c r="K17" s="3"/>
    </row>
    <row r="18" spans="1:11" ht="7.8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1"/>
    </row>
    <row r="19" spans="1:11" x14ac:dyDescent="0.3">
      <c r="A19" s="15" t="s">
        <v>165</v>
      </c>
      <c r="B19" s="15" t="s">
        <v>166</v>
      </c>
      <c r="C19" s="15" t="s">
        <v>167</v>
      </c>
      <c r="D19" s="15" t="s">
        <v>168</v>
      </c>
      <c r="E19" s="15" t="s">
        <v>169</v>
      </c>
      <c r="F19" s="15" t="s">
        <v>170</v>
      </c>
      <c r="G19" s="15" t="s">
        <v>171</v>
      </c>
      <c r="H19" s="15" t="s">
        <v>172</v>
      </c>
      <c r="I19" s="15" t="s">
        <v>173</v>
      </c>
      <c r="J19" s="15" t="s">
        <v>174</v>
      </c>
      <c r="K19" s="8"/>
    </row>
    <row r="20" spans="1:11" x14ac:dyDescent="0.3">
      <c r="A20" s="81" t="s">
        <v>175</v>
      </c>
      <c r="B20" s="10">
        <v>27</v>
      </c>
      <c r="C20" s="10">
        <v>26</v>
      </c>
      <c r="D20" s="10">
        <v>25</v>
      </c>
      <c r="E20" s="10">
        <v>1</v>
      </c>
      <c r="F20" s="10">
        <v>1</v>
      </c>
      <c r="G20" s="10">
        <v>0</v>
      </c>
      <c r="H20" s="10">
        <v>81.819999999999993</v>
      </c>
      <c r="I20" s="10">
        <v>96.15</v>
      </c>
      <c r="J20" s="10">
        <v>2</v>
      </c>
      <c r="K20" s="8"/>
    </row>
    <row r="21" spans="1:11" x14ac:dyDescent="0.3">
      <c r="A21" s="81" t="s">
        <v>176</v>
      </c>
      <c r="B21" s="10">
        <v>27</v>
      </c>
      <c r="C21" s="10">
        <v>20</v>
      </c>
      <c r="D21" s="10">
        <v>11</v>
      </c>
      <c r="E21" s="10">
        <v>9</v>
      </c>
      <c r="F21" s="10">
        <v>7</v>
      </c>
      <c r="G21" s="10">
        <v>0</v>
      </c>
      <c r="H21" s="10">
        <v>33.33</v>
      </c>
      <c r="I21" s="10">
        <v>55</v>
      </c>
      <c r="J21" s="10">
        <v>1</v>
      </c>
      <c r="K21" s="8"/>
    </row>
    <row r="22" spans="1:11" x14ac:dyDescent="0.3">
      <c r="A22" s="81" t="s">
        <v>177</v>
      </c>
      <c r="B22" s="10">
        <v>27</v>
      </c>
      <c r="C22" s="10">
        <v>21</v>
      </c>
      <c r="D22" s="10">
        <v>7</v>
      </c>
      <c r="E22" s="10">
        <v>14</v>
      </c>
      <c r="F22" s="10">
        <v>6</v>
      </c>
      <c r="G22" s="10">
        <v>0</v>
      </c>
      <c r="H22" s="10">
        <v>22.22</v>
      </c>
      <c r="I22" s="10">
        <v>33.33</v>
      </c>
      <c r="J22" s="10">
        <v>1</v>
      </c>
      <c r="K22" s="8"/>
    </row>
    <row r="23" spans="1:11" x14ac:dyDescent="0.3">
      <c r="A23" s="81" t="s">
        <v>178</v>
      </c>
      <c r="B23" s="10">
        <v>27</v>
      </c>
      <c r="C23" s="10">
        <v>21</v>
      </c>
      <c r="D23" s="10">
        <v>9</v>
      </c>
      <c r="E23" s="10">
        <v>12</v>
      </c>
      <c r="F23" s="10">
        <v>6</v>
      </c>
      <c r="G23" s="10">
        <v>0</v>
      </c>
      <c r="H23" s="10">
        <v>22.22</v>
      </c>
      <c r="I23" s="10">
        <v>42.86</v>
      </c>
      <c r="J23" s="10">
        <v>2</v>
      </c>
      <c r="K23" s="8"/>
    </row>
    <row r="24" spans="1:11" ht="8.4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8"/>
    </row>
    <row r="25" spans="1:11" ht="43.2" customHeight="1" x14ac:dyDescent="0.3">
      <c r="A25" s="16" t="s">
        <v>165</v>
      </c>
      <c r="B25" s="16" t="s">
        <v>179</v>
      </c>
      <c r="C25" s="16" t="s">
        <v>180</v>
      </c>
      <c r="D25" s="16" t="s">
        <v>181</v>
      </c>
      <c r="E25" s="16" t="s">
        <v>182</v>
      </c>
      <c r="F25" s="8"/>
      <c r="G25" s="3"/>
      <c r="H25" s="3"/>
      <c r="I25" s="3"/>
      <c r="J25" s="3"/>
      <c r="K25" s="3"/>
    </row>
    <row r="26" spans="1:11" x14ac:dyDescent="0.3">
      <c r="A26" s="81" t="s">
        <v>175</v>
      </c>
      <c r="B26" s="10">
        <v>26</v>
      </c>
      <c r="C26" s="10">
        <v>0</v>
      </c>
      <c r="D26" s="10">
        <v>0</v>
      </c>
      <c r="E26" s="10">
        <v>1</v>
      </c>
      <c r="F26" s="8"/>
      <c r="G26" s="3"/>
      <c r="H26" s="3"/>
      <c r="I26" s="3"/>
      <c r="J26" s="3"/>
      <c r="K26" s="3"/>
    </row>
    <row r="27" spans="1:11" x14ac:dyDescent="0.3">
      <c r="A27" s="81" t="s">
        <v>176</v>
      </c>
      <c r="B27" s="10">
        <v>11</v>
      </c>
      <c r="C27" s="10">
        <v>9</v>
      </c>
      <c r="D27" s="10">
        <v>0</v>
      </c>
      <c r="E27" s="10">
        <v>7</v>
      </c>
      <c r="F27" s="8"/>
      <c r="G27" s="3"/>
      <c r="H27" s="3"/>
      <c r="I27" s="3"/>
      <c r="J27" s="3"/>
      <c r="K27" s="3"/>
    </row>
    <row r="28" spans="1:11" x14ac:dyDescent="0.3">
      <c r="A28" s="81" t="s">
        <v>177</v>
      </c>
      <c r="B28" s="10">
        <v>17</v>
      </c>
      <c r="C28" s="10">
        <v>4</v>
      </c>
      <c r="D28" s="10">
        <v>0</v>
      </c>
      <c r="E28" s="10">
        <v>6</v>
      </c>
      <c r="F28" s="8"/>
      <c r="G28" s="3"/>
      <c r="H28" s="3"/>
      <c r="I28" s="3"/>
      <c r="J28" s="3"/>
      <c r="K28" s="3"/>
    </row>
    <row r="29" spans="1:11" x14ac:dyDescent="0.3">
      <c r="A29" s="81" t="s">
        <v>178</v>
      </c>
      <c r="B29" s="10">
        <v>18</v>
      </c>
      <c r="C29" s="10">
        <v>3</v>
      </c>
      <c r="D29" s="10">
        <v>0</v>
      </c>
      <c r="E29" s="10">
        <v>6</v>
      </c>
      <c r="F29" s="8"/>
      <c r="G29" s="3"/>
      <c r="H29" s="3"/>
      <c r="I29" s="3"/>
      <c r="J29" s="3"/>
      <c r="K29" s="3"/>
    </row>
    <row r="30" spans="1:11" x14ac:dyDescent="0.3">
      <c r="A30" s="9"/>
      <c r="B30" s="9"/>
      <c r="C30" s="9"/>
      <c r="D30" s="9"/>
      <c r="E30" s="9"/>
      <c r="F30" s="3"/>
      <c r="G30" s="3"/>
      <c r="H30" s="3"/>
      <c r="I30" s="3"/>
      <c r="J30" s="3"/>
      <c r="K30" s="3"/>
    </row>
    <row r="31" spans="1:1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</sheetData>
  <mergeCells count="7">
    <mergeCell ref="B17:J17"/>
    <mergeCell ref="A13:J13"/>
    <mergeCell ref="A1:J1"/>
    <mergeCell ref="A2:J2"/>
    <mergeCell ref="B14:J14"/>
    <mergeCell ref="B15:J15"/>
    <mergeCell ref="B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00_lectura</vt:lpstr>
      <vt:lpstr>01_reporte_puente</vt:lpstr>
      <vt:lpstr>02_requisitos_M6</vt:lpstr>
      <vt:lpstr>03_resumen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TFG</cp:lastModifiedBy>
  <dcterms:created xsi:type="dcterms:W3CDTF">2026-06-04T15:22:56Z</dcterms:created>
  <dcterms:modified xsi:type="dcterms:W3CDTF">2026-06-09T16:58:08Z</dcterms:modified>
</cp:coreProperties>
</file>