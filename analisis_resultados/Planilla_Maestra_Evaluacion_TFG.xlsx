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10" activeTab="12" autoFilterDateGrouping="1"/>
  </bookViews>
  <sheets>
    <sheet xmlns:r="http://schemas.openxmlformats.org/officeDocument/2006/relationships" name="00_INSTRUCCIONES" sheetId="1" state="visible" r:id="rId1"/>
    <sheet xmlns:r="http://schemas.openxmlformats.org/officeDocument/2006/relationships" name="01_A1_A2_inventario" sheetId="2" state="visible" r:id="rId2"/>
    <sheet xmlns:r="http://schemas.openxmlformats.org/officeDocument/2006/relationships" name="03_R1_M1_checklist" sheetId="3" state="visible" r:id="rId3"/>
    <sheet xmlns:r="http://schemas.openxmlformats.org/officeDocument/2006/relationships" name="03b_R1_M1_resumen" sheetId="4" state="visible" r:id="rId4"/>
    <sheet xmlns:r="http://schemas.openxmlformats.org/officeDocument/2006/relationships" name="05_R1_M3_contradicciones" sheetId="5" state="visible" r:id="rId5"/>
    <sheet xmlns:r="http://schemas.openxmlformats.org/officeDocument/2006/relationships" name="04_R1_M4_items" sheetId="6" state="visible" r:id="rId6"/>
    <sheet xmlns:r="http://schemas.openxmlformats.org/officeDocument/2006/relationships" name="02_R1_sintesis_artefactos" sheetId="7" state="visible" r:id="rId7"/>
    <sheet xmlns:r="http://schemas.openxmlformats.org/officeDocument/2006/relationships" name="06_P1_P2_pruebas" sheetId="8" state="visible" r:id="rId8"/>
    <sheet xmlns:r="http://schemas.openxmlformats.org/officeDocument/2006/relationships" name="07_T1_T2_T3_tiempos" sheetId="9" state="visible" r:id="rId9"/>
    <sheet xmlns:r="http://schemas.openxmlformats.org/officeDocument/2006/relationships" name="08_I1_incidencias" sheetId="10" state="visible" r:id="rId10"/>
    <sheet xmlns:r="http://schemas.openxmlformats.org/officeDocument/2006/relationships" name="08b_aux_bitacora_decisiones" sheetId="11" state="visible" r:id="rId11"/>
    <sheet xmlns:r="http://schemas.openxmlformats.org/officeDocument/2006/relationships" name="09_VD5_reproducibilidad" sheetId="12" state="visible" r:id="rId12"/>
    <sheet xmlns:r="http://schemas.openxmlformats.org/officeDocument/2006/relationships" name="10_AGREGADOS" sheetId="13" state="visible" r:id="rId13"/>
  </sheets>
  <definedNames/>
  <calcPr calcId="191029" fullCalcOnLoad="1" iterateDelta="0.000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24">
    <font>
      <name val="Calibri"/>
      <charset val="1"/>
      <family val="2"/>
      <color theme="1"/>
      <sz val="11"/>
    </font>
    <font>
      <name val="Arial"/>
      <family val="2"/>
      <b val="1"/>
      <color rgb="FF000000"/>
      <sz val="10"/>
    </font>
    <font>
      <name val="Arial"/>
      <family val="2"/>
      <sz val="10"/>
    </font>
    <font>
      <name val="Arial"/>
      <family val="2"/>
      <b val="1"/>
      <color rgb="FFFFFFFF"/>
      <sz val="10"/>
    </font>
    <font>
      <name val="Arial"/>
      <family val="2"/>
      <color theme="1"/>
      <sz val="10"/>
    </font>
    <font>
      <name val="Arial"/>
      <family val="2"/>
      <i val="1"/>
      <color rgb="FF555555"/>
      <sz val="10"/>
    </font>
    <font>
      <name val="Arial"/>
      <family val="2"/>
      <b val="1"/>
      <sz val="10"/>
    </font>
    <font>
      <name val="Arial"/>
      <family val="2"/>
      <i val="1"/>
      <sz val="10"/>
    </font>
    <font>
      <name val="Arial"/>
      <family val="2"/>
      <b val="1"/>
      <color theme="0"/>
      <sz val="10"/>
    </font>
    <font>
      <name val="Arial"/>
      <family val="2"/>
      <i val="1"/>
      <color theme="1" tint="0.3499862666707358"/>
      <sz val="10"/>
    </font>
    <font>
      <name val="Arial"/>
      <family val="2"/>
      <b val="1"/>
      <color rgb="FFFF0000"/>
      <sz val="10"/>
    </font>
    <font>
      <name val="Arial"/>
      <family val="2"/>
      <i val="1"/>
      <color rgb="FF404040"/>
      <sz val="10"/>
    </font>
    <font>
      <name val="Calibri"/>
      <family val="2"/>
      <b val="1"/>
      <color theme="1"/>
      <sz val="11"/>
    </font>
    <font>
      <name val="Arial"/>
      <family val="2"/>
      <b val="1"/>
      <color theme="1"/>
      <sz val="9"/>
    </font>
    <font>
      <name val="Arial"/>
      <family val="2"/>
      <color theme="1"/>
      <sz val="9"/>
    </font>
    <font>
      <name val="Arial"/>
      <family val="2"/>
      <b val="1"/>
      <color rgb="FFFFFFFF"/>
      <sz val="9"/>
    </font>
    <font>
      <name val="Arial"/>
      <family val="2"/>
      <b val="1"/>
      <color rgb="FF000000"/>
      <sz val="9"/>
    </font>
    <font>
      <name val="Arial"/>
      <family val="2"/>
      <sz val="9"/>
    </font>
    <font>
      <name val="Arial"/>
      <family val="2"/>
      <color theme="1"/>
      <sz val="11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11"/>
    </font>
    <font>
      <name val="Arial"/>
      <family val="2"/>
      <b val="1"/>
      <color theme="1"/>
      <sz val="10"/>
    </font>
    <font>
      <name val="Arial"/>
      <family val="2"/>
      <b val="1"/>
      <color theme="0"/>
      <sz val="11"/>
    </font>
    <font>
      <name val="Arial"/>
      <family val="2"/>
      <color rgb="FFFF0000"/>
      <sz val="10"/>
    </font>
  </fonts>
  <fills count="40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EEBF7"/>
        <bgColor rgb="FFDDEBF7"/>
      </patternFill>
    </fill>
    <fill>
      <patternFill patternType="solid">
        <fgColor rgb="FF2E75B6"/>
        <bgColor rgb="FF4472C4"/>
      </patternFill>
    </fill>
    <fill>
      <patternFill patternType="solid">
        <fgColor rgb="FFFCE4D6"/>
        <bgColor rgb="FFFFE5CC"/>
      </patternFill>
    </fill>
    <fill>
      <patternFill patternType="solid">
        <fgColor rgb="FFDDEBF7"/>
        <bgColor rgb="FFDEEBF7"/>
      </patternFill>
    </fill>
    <fill>
      <patternFill patternType="solid">
        <fgColor rgb="FFFFF2CC"/>
        <bgColor rgb="FFFFE5CC"/>
      </patternFill>
    </fill>
    <fill>
      <patternFill patternType="solid">
        <fgColor rgb="FFE2EFDA"/>
        <bgColor rgb="FFDEEBF7"/>
      </patternFill>
    </fill>
    <fill>
      <patternFill patternType="solid">
        <fgColor rgb="FFFFE5CC"/>
        <bgColor rgb="FFFCE4D6"/>
      </patternFill>
    </fill>
    <fill>
      <patternFill patternType="solid">
        <fgColor rgb="FFCCE5FF"/>
        <bgColor rgb="FFDDEBF7"/>
      </patternFill>
    </fill>
    <fill>
      <patternFill patternType="solid">
        <fgColor rgb="FFD9D9D9"/>
        <bgColor rgb="FFCCE5FF"/>
      </patternFill>
    </fill>
    <fill>
      <patternFill patternType="solid">
        <fgColor rgb="FFF2F2F2"/>
        <bgColor rgb="FFF8F8F8"/>
      </patternFill>
    </fill>
    <fill>
      <patternFill patternType="solid">
        <fgColor rgb="FFE8E8E8"/>
      </patternFill>
    </fill>
    <fill>
      <patternFill patternType="solid">
        <fgColor rgb="FFF2F2F2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DF5CB"/>
        <bgColor indexed="64"/>
      </patternFill>
    </fill>
    <fill>
      <patternFill patternType="solid">
        <fgColor rgb="FFFDF5CB"/>
        <bgColor rgb="FFFFE5CC"/>
      </patternFill>
    </fill>
    <fill>
      <patternFill patternType="solid">
        <fgColor rgb="FFFDF5CB"/>
        <bgColor rgb="FFF2F2F2"/>
      </patternFill>
    </fill>
    <fill>
      <patternFill patternType="solid">
        <fgColor rgb="FFFDF5CB"/>
        <bgColor rgb="FFF8F8F8"/>
      </patternFill>
    </fill>
    <fill>
      <patternFill patternType="solid">
        <fgColor rgb="FFFDF5CB"/>
        <bgColor rgb="FFDEEBF7"/>
      </patternFill>
    </fill>
    <fill>
      <patternFill patternType="solid">
        <fgColor theme="4" tint="-0.249977111117893"/>
        <bgColor rgb="FFCCE5FF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/>
        <bgColor rgb="FF2E75B6"/>
      </patternFill>
    </fill>
    <fill>
      <patternFill patternType="solid">
        <fgColor rgb="FFFDF5CB"/>
        <bgColor rgb="FFFCE4D6"/>
      </patternFill>
    </fill>
    <fill>
      <patternFill patternType="solid">
        <fgColor rgb="FFFDF5CB"/>
        <bgColor rgb="FFDDEBF7"/>
      </patternFill>
    </fill>
    <fill>
      <patternFill patternType="solid">
        <fgColor theme="0"/>
        <bgColor rgb="FFFFE5CC"/>
      </patternFill>
    </fill>
    <fill>
      <patternFill patternType="solid">
        <fgColor rgb="FFE2EFDA"/>
        <bgColor indexed="64"/>
      </patternFill>
    </fill>
    <fill>
      <patternFill patternType="solid">
        <fgColor rgb="FFE2EFDA"/>
        <bgColor rgb="FFFFE5CC"/>
      </patternFill>
    </fill>
    <fill>
      <patternFill patternType="solid">
        <fgColor rgb="FFE2F0D9"/>
      </patternFill>
    </fill>
    <fill>
      <patternFill patternType="solid">
        <fgColor rgb="FFFFFFCC"/>
        <bgColor indexed="64"/>
      </patternFill>
    </fill>
    <fill>
      <patternFill patternType="solid">
        <fgColor theme="3" tint="0.7999816888943144"/>
        <bgColor rgb="FFDDEBF7"/>
      </patternFill>
    </fill>
    <fill>
      <patternFill patternType="solid">
        <fgColor rgb="FFFFFFCC"/>
      </patternFill>
    </fill>
    <fill>
      <patternFill patternType="solid">
        <fgColor theme="4" tint="0.7999816888943144"/>
        <bgColor rgb="FFDDEBF7"/>
      </patternFill>
    </fill>
    <fill>
      <patternFill patternType="solid">
        <fgColor theme="4" tint="0.7999816888943144"/>
        <bgColor rgb="FFDEEBF7"/>
      </patternFill>
    </fill>
    <fill>
      <patternFill patternType="solid">
        <fgColor rgb="FF002060"/>
        <bgColor rgb="FF003366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rgb="FF4472C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rgb="FFFFE5CC"/>
      </patternFill>
    </fill>
  </fills>
  <borders count="35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/>
      <right/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/>
      <diagonal/>
    </border>
    <border>
      <left style="thin">
        <color theme="0" tint="-0.3499862666707358"/>
      </left>
      <right style="thin">
        <color theme="0" tint="-0.3499862666707358"/>
      </right>
      <top style="medium">
        <color theme="1" tint="0.1499984740745262"/>
      </top>
      <bottom style="thin">
        <color theme="0" tint="-0.3499862666707358"/>
      </bottom>
      <diagonal/>
    </border>
    <border>
      <left style="thin">
        <color rgb="FF999999"/>
      </left>
      <right style="thin">
        <color rgb="FF999999"/>
      </right>
      <top style="medium">
        <color theme="1" tint="0.1499984740745262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888888"/>
      </top>
      <bottom style="thin">
        <color rgb="FF888888"/>
      </bottom>
      <diagonal/>
    </border>
    <border>
      <left/>
      <right style="thin">
        <color rgb="FF888888"/>
      </right>
      <top style="thin">
        <color rgb="FF888888"/>
      </top>
      <bottom style="thin">
        <color rgb="FF888888"/>
      </bottom>
      <diagonal/>
    </border>
    <border>
      <left/>
      <right/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theme="0" tint="-0.3499862666707358"/>
      </left>
      <right style="thin">
        <color theme="0" tint="-0.3499862666707358"/>
      </right>
      <top style="medium">
        <color indexed="64"/>
      </top>
      <bottom style="thin">
        <color theme="0" tint="-0.3499862666707358"/>
      </bottom>
      <diagonal/>
    </border>
    <border>
      <left/>
      <right/>
      <top style="thin">
        <color theme="0" tint="-0.3499862666707358"/>
      </top>
      <bottom/>
      <diagonal/>
    </border>
    <border>
      <left/>
      <right style="thin">
        <color theme="0" tint="-0.3499862666707358"/>
      </right>
      <top style="thin">
        <color theme="0" tint="-0.3499862666707358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medium">
        <color indexed="64"/>
      </top>
      <bottom style="thin">
        <color rgb="FFB7B7B7"/>
      </bottom>
      <diagonal/>
    </border>
    <border>
      <left style="thin">
        <color rgb="FF999999"/>
      </left>
      <right style="thin">
        <color rgb="FF999999"/>
      </right>
      <top style="medium">
        <color indexed="64"/>
      </top>
      <bottom style="thin">
        <color rgb="FF999999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rgb="FF888888"/>
      </top>
      <bottom/>
      <diagonal/>
    </border>
    <border>
      <left/>
      <right style="thin">
        <color rgb="FF888888"/>
      </right>
      <top style="thin">
        <color rgb="FF888888"/>
      </top>
      <bottom/>
      <diagonal/>
    </border>
  </borders>
  <cellStyleXfs count="1">
    <xf numFmtId="0" fontId="0" fillId="0" borderId="0"/>
  </cellStyleXfs>
  <cellXfs count="228">
    <xf numFmtId="0" fontId="0" fillId="0" borderId="0" pivotButton="0" quotePrefix="0" xfId="0"/>
    <xf numFmtId="0" fontId="2" fillId="0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0" applyAlignment="1" pivotButton="0" quotePrefix="0" xfId="0">
      <alignment horizontal="center" vertical="center" wrapText="1"/>
    </xf>
    <xf numFmtId="164" fontId="4" fillId="8" borderId="0" applyAlignment="1" pivotButton="0" quotePrefix="0" xfId="0">
      <alignment horizontal="center" vertical="center" wrapText="1"/>
    </xf>
    <xf numFmtId="0" fontId="4" fillId="8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164" fontId="4" fillId="8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top" wrapText="1"/>
    </xf>
    <xf numFmtId="0" fontId="6" fillId="12" borderId="2" applyAlignment="1" pivotButton="0" quotePrefix="0" xfId="0">
      <alignment horizontal="center"/>
    </xf>
    <xf numFmtId="0" fontId="4" fillId="0" borderId="0" applyAlignment="1" pivotButton="0" quotePrefix="0" xfId="0">
      <alignment wrapText="1"/>
    </xf>
    <xf numFmtId="0" fontId="6" fillId="12" borderId="2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3" fillId="23" borderId="2" applyAlignment="1" pivotButton="0" quotePrefix="0" xfId="0">
      <alignment horizontal="center" vertical="center" wrapText="1"/>
    </xf>
    <xf numFmtId="0" fontId="4" fillId="18" borderId="2" applyAlignment="1" pivotButton="0" quotePrefix="0" xfId="0">
      <alignment horizontal="center" vertical="center" wrapText="1"/>
    </xf>
    <xf numFmtId="0" fontId="4" fillId="18" borderId="2" applyAlignment="1" pivotButton="0" quotePrefix="0" xfId="0">
      <alignment horizontal="left" vertical="top" wrapText="1"/>
    </xf>
    <xf numFmtId="0" fontId="4" fillId="18" borderId="2" applyAlignment="1" pivotButton="0" quotePrefix="0" xfId="0">
      <alignment horizontal="left" vertical="center" wrapText="1"/>
    </xf>
    <xf numFmtId="0" fontId="4" fillId="19" borderId="2" applyAlignment="1" pivotButton="0" quotePrefix="0" xfId="0">
      <alignment horizontal="center" vertical="center" wrapText="1"/>
    </xf>
    <xf numFmtId="0" fontId="4" fillId="19" borderId="2" applyAlignment="1" pivotButton="0" quotePrefix="0" xfId="0">
      <alignment horizontal="left" vertical="top" wrapText="1"/>
    </xf>
    <xf numFmtId="0" fontId="4" fillId="19" borderId="2" applyAlignment="1" pivotButton="0" quotePrefix="0" xfId="0">
      <alignment horizontal="left" vertical="center" wrapText="1"/>
    </xf>
    <xf numFmtId="0" fontId="4" fillId="20" borderId="2" applyAlignment="1" pivotButton="0" quotePrefix="0" xfId="0">
      <alignment horizontal="center" vertical="center" wrapText="1"/>
    </xf>
    <xf numFmtId="0" fontId="4" fillId="20" borderId="2" applyAlignment="1" pivotButton="0" quotePrefix="0" xfId="0">
      <alignment horizontal="left" vertical="top" wrapText="1"/>
    </xf>
    <xf numFmtId="0" fontId="4" fillId="20" borderId="2" applyAlignment="1" pivotButton="0" quotePrefix="0" xfId="0">
      <alignment horizontal="left" vertical="center" wrapText="1"/>
    </xf>
    <xf numFmtId="0" fontId="2" fillId="17" borderId="2" applyAlignment="1" pivotButton="0" quotePrefix="0" xfId="0">
      <alignment horizontal="center" vertical="center" wrapText="1"/>
    </xf>
    <xf numFmtId="0" fontId="2" fillId="17" borderId="2" applyAlignment="1" pivotButton="0" quotePrefix="0" xfId="0">
      <alignment horizontal="left" vertical="top" wrapText="1"/>
    </xf>
    <xf numFmtId="0" fontId="2" fillId="17" borderId="2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/>
    </xf>
    <xf numFmtId="0" fontId="4" fillId="9" borderId="2" applyAlignment="1" pivotButton="0" quotePrefix="0" xfId="0">
      <alignment horizontal="center" vertical="top" wrapText="1"/>
    </xf>
    <xf numFmtId="0" fontId="4" fillId="9" borderId="2" applyAlignment="1" pivotButton="0" quotePrefix="0" xfId="0">
      <alignment horizontal="center" vertical="center" wrapText="1"/>
    </xf>
    <xf numFmtId="0" fontId="4" fillId="10" borderId="2" applyAlignment="1" pivotButton="0" quotePrefix="0" xfId="0">
      <alignment horizontal="center" vertical="top" wrapText="1"/>
    </xf>
    <xf numFmtId="0" fontId="4" fillId="10" borderId="2" applyAlignment="1" pivotButton="0" quotePrefix="0" xfId="0">
      <alignment horizontal="center" vertical="center" wrapText="1"/>
    </xf>
    <xf numFmtId="0" fontId="6" fillId="11" borderId="0" applyAlignment="1" pivotButton="0" quotePrefix="0" xfId="0">
      <alignment horizontal="center"/>
    </xf>
    <xf numFmtId="0" fontId="6" fillId="11" borderId="2" applyAlignment="1" pivotButton="0" quotePrefix="0" xfId="0">
      <alignment horizontal="center"/>
    </xf>
    <xf numFmtId="0" fontId="6" fillId="11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wrapText="1"/>
    </xf>
    <xf numFmtId="0" fontId="4" fillId="7" borderId="2" applyAlignment="1" pivotButton="0" quotePrefix="0" xfId="0">
      <alignment horizontal="center" vertical="center"/>
    </xf>
    <xf numFmtId="164" fontId="4" fillId="8" borderId="2" applyAlignment="1" pivotButton="0" quotePrefix="0" xfId="0">
      <alignment horizontal="center" vertical="center"/>
    </xf>
    <xf numFmtId="0" fontId="4" fillId="24" borderId="2" applyAlignment="1" pivotButton="0" quotePrefix="0" xfId="0">
      <alignment horizontal="center" vertical="center" wrapText="1"/>
    </xf>
    <xf numFmtId="0" fontId="4" fillId="24" borderId="2" applyAlignment="1" pivotButton="0" quotePrefix="0" xfId="0">
      <alignment vertical="top" wrapText="1"/>
    </xf>
    <xf numFmtId="0" fontId="4" fillId="25" borderId="2" applyAlignment="1" pivotButton="0" quotePrefix="0" xfId="0">
      <alignment horizontal="center" vertical="center" wrapText="1"/>
    </xf>
    <xf numFmtId="0" fontId="4" fillId="25" borderId="2" applyAlignment="1" pivotButton="0" quotePrefix="0" xfId="0">
      <alignment vertical="top" wrapText="1"/>
    </xf>
    <xf numFmtId="0" fontId="4" fillId="27" borderId="2" applyAlignment="1" pivotButton="0" quotePrefix="0" xfId="0">
      <alignment horizontal="center" vertical="center"/>
    </xf>
    <xf numFmtId="0" fontId="6" fillId="28" borderId="2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/>
    </xf>
    <xf numFmtId="0" fontId="2" fillId="5" borderId="1" applyAlignment="1" pivotButton="0" quotePrefix="0" xfId="0">
      <alignment horizontal="center" vertical="center" wrapText="1"/>
    </xf>
    <xf numFmtId="0" fontId="2" fillId="5" borderId="11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left" vertical="top" wrapText="1"/>
    </xf>
    <xf numFmtId="0" fontId="2" fillId="6" borderId="15" applyAlignment="1" pivotButton="0" quotePrefix="0" xfId="0">
      <alignment horizontal="center" vertical="center" wrapText="1"/>
    </xf>
    <xf numFmtId="0" fontId="4" fillId="7" borderId="15" applyAlignment="1" pivotButton="0" quotePrefix="0" xfId="0">
      <alignment horizontal="center" vertical="center" wrapText="1"/>
    </xf>
    <xf numFmtId="0" fontId="4" fillId="7" borderId="15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center" vertical="center" wrapText="1"/>
    </xf>
    <xf numFmtId="0" fontId="2" fillId="6" borderId="11" applyAlignment="1" pivotButton="0" quotePrefix="0" xfId="0">
      <alignment horizontal="center" vertical="center" wrapText="1"/>
    </xf>
    <xf numFmtId="1" fontId="4" fillId="8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left" vertical="center" wrapText="1"/>
    </xf>
    <xf numFmtId="0" fontId="4" fillId="17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left" vertical="top" wrapText="1"/>
    </xf>
    <xf numFmtId="0" fontId="10" fillId="17" borderId="1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 wrapText="1"/>
    </xf>
    <xf numFmtId="164" fontId="2" fillId="8" borderId="1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 wrapText="1"/>
    </xf>
    <xf numFmtId="0" fontId="3" fillId="4" borderId="11" applyAlignment="1" pivotButton="0" quotePrefix="0" xfId="0">
      <alignment horizontal="center" vertical="center" wrapText="1"/>
    </xf>
    <xf numFmtId="0" fontId="4" fillId="16" borderId="12" applyAlignment="1" pivotButton="0" quotePrefix="0" xfId="0">
      <alignment vertical="top" wrapText="1"/>
    </xf>
    <xf numFmtId="0" fontId="4" fillId="0" borderId="12" applyAlignment="1" pivotButton="0" quotePrefix="0" xfId="0">
      <alignment vertical="top" wrapText="1"/>
    </xf>
    <xf numFmtId="0" fontId="4" fillId="16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0" fontId="4" fillId="27" borderId="12" applyAlignment="1" pivotButton="0" quotePrefix="0" xfId="0">
      <alignment horizontal="center" vertical="center" wrapText="1"/>
    </xf>
    <xf numFmtId="0" fontId="11" fillId="14" borderId="0" applyAlignment="1" pivotButton="0" quotePrefix="0" xfId="0">
      <alignment horizontal="center" vertical="center" wrapText="1"/>
    </xf>
    <xf numFmtId="0" fontId="2" fillId="15" borderId="12" applyAlignment="1" pivotButton="0" quotePrefix="0" xfId="0">
      <alignment horizontal="center" vertical="center" wrapText="1"/>
    </xf>
    <xf numFmtId="0" fontId="4" fillId="15" borderId="12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4" fillId="8" borderId="11" applyAlignment="1" pivotButton="0" quotePrefix="0" xfId="0">
      <alignment horizontal="center" vertical="center" wrapText="1"/>
    </xf>
    <xf numFmtId="164" fontId="4" fillId="8" borderId="11" applyAlignment="1" pivotButton="0" quotePrefix="0" xfId="0">
      <alignment horizontal="center" vertical="center" wrapText="1"/>
    </xf>
    <xf numFmtId="0" fontId="4" fillId="8" borderId="15" applyAlignment="1" pivotButton="0" quotePrefix="0" xfId="0">
      <alignment horizontal="center" vertical="center" wrapText="1"/>
    </xf>
    <xf numFmtId="164" fontId="4" fillId="8" borderId="15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horizontal="center" vertical="top" wrapText="1"/>
    </xf>
    <xf numFmtId="0" fontId="4" fillId="0" borderId="0" applyAlignment="1" pivotButton="0" quotePrefix="0" xfId="0">
      <alignment vertical="top"/>
    </xf>
    <xf numFmtId="0" fontId="2" fillId="5" borderId="12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  <xf numFmtId="0" fontId="4" fillId="0" borderId="21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/>
    </xf>
    <xf numFmtId="0" fontId="0" fillId="0" borderId="21" applyAlignment="1" pivotButton="0" quotePrefix="0" xfId="0">
      <alignment horizontal="center"/>
    </xf>
    <xf numFmtId="0" fontId="12" fillId="0" borderId="21" applyAlignment="1" pivotButton="0" quotePrefix="0" xfId="0">
      <alignment horizontal="center"/>
    </xf>
    <xf numFmtId="0" fontId="4" fillId="0" borderId="0" applyAlignment="1" pivotButton="0" quotePrefix="0" xfId="0">
      <alignment horizontal="left" vertical="top" wrapText="1"/>
    </xf>
    <xf numFmtId="0" fontId="2" fillId="29" borderId="24" applyAlignment="1" pivotButton="0" quotePrefix="0" xfId="0">
      <alignment horizontal="center" vertical="center" wrapText="1"/>
    </xf>
    <xf numFmtId="164" fontId="2" fillId="29" borderId="24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top" wrapText="1"/>
    </xf>
    <xf numFmtId="0" fontId="4" fillId="13" borderId="1" applyAlignment="1" pivotButton="0" quotePrefix="0" xfId="0">
      <alignment horizontal="center" vertical="top" wrapText="1"/>
    </xf>
    <xf numFmtId="0" fontId="4" fillId="13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vertical="top" wrapText="1"/>
    </xf>
    <xf numFmtId="0" fontId="2" fillId="5" borderId="13" applyAlignment="1" pivotButton="0" quotePrefix="0" xfId="0">
      <alignment horizontal="center" vertical="center" wrapText="1"/>
    </xf>
    <xf numFmtId="0" fontId="2" fillId="30" borderId="12" applyAlignment="1" pivotButton="0" quotePrefix="0" xfId="0">
      <alignment horizontal="left" vertical="center" wrapText="1"/>
    </xf>
    <xf numFmtId="0" fontId="2" fillId="30" borderId="12" applyAlignment="1" pivotButton="0" quotePrefix="0" xfId="0">
      <alignment horizontal="center" vertical="center" wrapText="1"/>
    </xf>
    <xf numFmtId="0" fontId="2" fillId="30" borderId="12" applyAlignment="1" pivotButton="0" quotePrefix="0" xfId="0">
      <alignment horizontal="left" vertical="top" wrapText="1"/>
    </xf>
    <xf numFmtId="0" fontId="2" fillId="30" borderId="13" applyAlignment="1" pivotButton="0" quotePrefix="0" xfId="0">
      <alignment horizontal="left" vertical="center" wrapText="1"/>
    </xf>
    <xf numFmtId="0" fontId="2" fillId="30" borderId="13" applyAlignment="1" pivotButton="0" quotePrefix="0" xfId="0">
      <alignment horizontal="center" vertical="center" wrapText="1"/>
    </xf>
    <xf numFmtId="0" fontId="2" fillId="30" borderId="13" applyAlignment="1" pivotButton="0" quotePrefix="0" xfId="0">
      <alignment horizontal="left" vertical="top" wrapText="1"/>
    </xf>
    <xf numFmtId="0" fontId="2" fillId="30" borderId="25" applyAlignment="1" pivotButton="0" quotePrefix="0" xfId="0">
      <alignment horizontal="left" vertical="center" wrapText="1"/>
    </xf>
    <xf numFmtId="0" fontId="2" fillId="30" borderId="25" applyAlignment="1" pivotButton="0" quotePrefix="0" xfId="0">
      <alignment horizontal="center" vertical="center" wrapText="1"/>
    </xf>
    <xf numFmtId="0" fontId="2" fillId="30" borderId="25" applyAlignment="1" pivotButton="0" quotePrefix="0" xfId="0">
      <alignment horizontal="left" vertical="top" wrapText="1"/>
    </xf>
    <xf numFmtId="0" fontId="2" fillId="30" borderId="14" applyAlignment="1" pivotButton="0" quotePrefix="0" xfId="0">
      <alignment horizontal="left" vertical="center" wrapText="1"/>
    </xf>
    <xf numFmtId="0" fontId="2" fillId="30" borderId="14" applyAlignment="1" pivotButton="0" quotePrefix="0" xfId="0">
      <alignment horizontal="center" vertical="center" wrapText="1"/>
    </xf>
    <xf numFmtId="0" fontId="2" fillId="30" borderId="14" applyAlignment="1" pivotButton="0" quotePrefix="0" xfId="0">
      <alignment horizontal="left" vertical="top" wrapText="1"/>
    </xf>
    <xf numFmtId="0" fontId="13" fillId="0" borderId="21" applyAlignment="1" pivotButton="0" quotePrefix="0" xfId="0">
      <alignment horizontal="center" vertical="center" wrapText="1"/>
    </xf>
    <xf numFmtId="0" fontId="14" fillId="0" borderId="21" applyAlignment="1" pivotButton="0" quotePrefix="0" xfId="0">
      <alignment horizontal="center" vertical="center" wrapText="1"/>
    </xf>
    <xf numFmtId="0" fontId="14" fillId="0" borderId="0" pivotButton="0" quotePrefix="0" xfId="0"/>
    <xf numFmtId="0" fontId="14" fillId="0" borderId="0" applyAlignment="1" pivotButton="0" quotePrefix="0" xfId="0">
      <alignment wrapText="1"/>
    </xf>
    <xf numFmtId="0" fontId="4" fillId="0" borderId="12" applyAlignment="1" pivotButton="0" quotePrefix="0" xfId="0">
      <alignment wrapText="1"/>
    </xf>
    <xf numFmtId="0" fontId="4" fillId="0" borderId="12" applyAlignment="1" pivotButton="0" quotePrefix="0" xfId="0">
      <alignment horizontal="center" wrapText="1"/>
    </xf>
    <xf numFmtId="0" fontId="4" fillId="0" borderId="0" applyAlignment="1" pivotButton="0" quotePrefix="0" xfId="0">
      <alignment horizontal="center" wrapText="1"/>
    </xf>
    <xf numFmtId="0" fontId="4" fillId="0" borderId="12" applyAlignment="1" pivotButton="0" quotePrefix="0" xfId="0">
      <alignment vertical="center" wrapText="1"/>
    </xf>
    <xf numFmtId="0" fontId="18" fillId="0" borderId="0" applyAlignment="1" pivotButton="0" quotePrefix="0" xfId="0">
      <alignment vertical="center"/>
    </xf>
    <xf numFmtId="0" fontId="2" fillId="29" borderId="28" applyAlignment="1" pivotButton="0" quotePrefix="0" xfId="0">
      <alignment horizontal="center" vertical="center" wrapText="1"/>
    </xf>
    <xf numFmtId="164" fontId="2" fillId="29" borderId="28" applyAlignment="1" pivotButton="0" quotePrefix="0" xfId="0">
      <alignment horizontal="center" vertical="center" wrapText="1"/>
    </xf>
    <xf numFmtId="0" fontId="2" fillId="29" borderId="29" applyAlignment="1" pivotButton="0" quotePrefix="0" xfId="0">
      <alignment horizontal="center" vertical="center" wrapText="1"/>
    </xf>
    <xf numFmtId="164" fontId="2" fillId="29" borderId="29" applyAlignment="1" pivotButton="0" quotePrefix="0" xfId="0">
      <alignment horizontal="center" vertical="center" wrapText="1"/>
    </xf>
    <xf numFmtId="0" fontId="2" fillId="15" borderId="24" applyAlignment="1" pivotButton="0" quotePrefix="0" xfId="0">
      <alignment horizontal="center" vertical="center" wrapText="1"/>
    </xf>
    <xf numFmtId="0" fontId="2" fillId="15" borderId="28" applyAlignment="1" pivotButton="0" quotePrefix="0" xfId="0">
      <alignment horizontal="center" vertical="center" wrapText="1"/>
    </xf>
    <xf numFmtId="0" fontId="16" fillId="33" borderId="21" applyAlignment="1" pivotButton="0" quotePrefix="0" xfId="0">
      <alignment horizontal="center" vertical="center" wrapText="1"/>
    </xf>
    <xf numFmtId="0" fontId="2" fillId="34" borderId="25" applyAlignment="1" pivotButton="0" quotePrefix="0" xfId="0">
      <alignment horizontal="center" vertical="center" wrapText="1"/>
    </xf>
    <xf numFmtId="0" fontId="2" fillId="34" borderId="12" applyAlignment="1" pivotButton="0" quotePrefix="0" xfId="0">
      <alignment horizontal="center" vertical="center" wrapText="1"/>
    </xf>
    <xf numFmtId="0" fontId="2" fillId="34" borderId="13" applyAlignment="1" pivotButton="0" quotePrefix="0" xfId="0">
      <alignment horizontal="center" vertical="center" wrapText="1"/>
    </xf>
    <xf numFmtId="0" fontId="2" fillId="34" borderId="14" applyAlignment="1" pivotButton="0" quotePrefix="0" xfId="0">
      <alignment horizontal="center" vertical="center" wrapText="1"/>
    </xf>
    <xf numFmtId="0" fontId="2" fillId="22" borderId="29" applyAlignment="1" pivotButton="0" quotePrefix="0" xfId="0">
      <alignment horizontal="center" vertical="center" wrapText="1"/>
    </xf>
    <xf numFmtId="0" fontId="2" fillId="22" borderId="24" applyAlignment="1" pivotButton="0" quotePrefix="0" xfId="0">
      <alignment horizontal="center" vertical="center" wrapText="1"/>
    </xf>
    <xf numFmtId="0" fontId="2" fillId="22" borderId="28" applyAlignment="1" pivotButton="0" quotePrefix="0" xfId="0">
      <alignment horizontal="center" vertical="center" wrapText="1"/>
    </xf>
    <xf numFmtId="0" fontId="20" fillId="37" borderId="12" applyAlignment="1" pivotButton="0" quotePrefix="0" xfId="0">
      <alignment horizontal="center" vertical="center" wrapText="1"/>
    </xf>
    <xf numFmtId="0" fontId="21" fillId="0" borderId="0" applyAlignment="1" pivotButton="0" quotePrefix="0" xfId="0">
      <alignment wrapText="1"/>
    </xf>
    <xf numFmtId="0" fontId="22" fillId="38" borderId="24" applyAlignment="1" pivotButton="0" quotePrefix="0" xfId="0">
      <alignment horizontal="center" vertical="center" wrapText="1"/>
    </xf>
    <xf numFmtId="0" fontId="2" fillId="15" borderId="24" applyAlignment="1" pivotButton="0" quotePrefix="0" xfId="0">
      <alignment vertical="center" wrapText="1"/>
    </xf>
    <xf numFmtId="0" fontId="2" fillId="15" borderId="28" applyAlignment="1" pivotButton="0" quotePrefix="0" xfId="0">
      <alignment vertical="center" wrapText="1"/>
    </xf>
    <xf numFmtId="0" fontId="2" fillId="22" borderId="29" applyAlignment="1" pivotButton="0" quotePrefix="0" xfId="0">
      <alignment vertical="center" wrapText="1"/>
    </xf>
    <xf numFmtId="0" fontId="2" fillId="22" borderId="24" applyAlignment="1" pivotButton="0" quotePrefix="0" xfId="0">
      <alignment vertical="center" wrapText="1"/>
    </xf>
    <xf numFmtId="0" fontId="2" fillId="22" borderId="28" applyAlignment="1" pivotButton="0" quotePrefix="0" xfId="0">
      <alignment vertical="center" wrapText="1"/>
    </xf>
    <xf numFmtId="0" fontId="2" fillId="32" borderId="24" applyAlignment="1" pivotButton="0" quotePrefix="0" xfId="0">
      <alignment vertical="center" wrapText="1"/>
    </xf>
    <xf numFmtId="0" fontId="2" fillId="39" borderId="24" applyAlignment="1" pivotButton="0" quotePrefix="0" xfId="0">
      <alignment horizontal="center" vertical="center" wrapText="1"/>
    </xf>
    <xf numFmtId="0" fontId="2" fillId="32" borderId="28" applyAlignment="1" pivotButton="0" quotePrefix="0" xfId="0">
      <alignment vertical="center" wrapText="1"/>
    </xf>
    <xf numFmtId="0" fontId="2" fillId="39" borderId="28" applyAlignment="1" pivotButton="0" quotePrefix="0" xfId="0">
      <alignment horizontal="center" vertical="center" wrapText="1"/>
    </xf>
    <xf numFmtId="0" fontId="2" fillId="32" borderId="29" applyAlignment="1" pivotButton="0" quotePrefix="0" xfId="0">
      <alignment vertical="center" wrapText="1"/>
    </xf>
    <xf numFmtId="0" fontId="2" fillId="39" borderId="29" applyAlignment="1" pivotButton="0" quotePrefix="0" xfId="0">
      <alignment horizontal="center" vertical="center" wrapText="1"/>
    </xf>
    <xf numFmtId="0" fontId="3" fillId="37" borderId="1" applyAlignment="1" pivotButton="0" quotePrefix="0" xfId="0">
      <alignment horizontal="center" vertical="center" wrapText="1"/>
    </xf>
    <xf numFmtId="0" fontId="4" fillId="39" borderId="1" applyAlignment="1" pivotButton="0" quotePrefix="0" xfId="0">
      <alignment horizontal="center" vertical="center" wrapText="1"/>
    </xf>
    <xf numFmtId="0" fontId="4" fillId="39" borderId="1" applyAlignment="1" pivotButton="0" quotePrefix="0" xfId="0">
      <alignment horizontal="left" vertical="top" wrapText="1"/>
    </xf>
    <xf numFmtId="0" fontId="2" fillId="30" borderId="1" applyAlignment="1" pivotButton="0" quotePrefix="0" xfId="0">
      <alignment horizontal="left" vertical="center" wrapText="1"/>
    </xf>
    <xf numFmtId="0" fontId="2" fillId="30" borderId="1" applyAlignment="1" pivotButton="0" quotePrefix="0" xfId="0">
      <alignment horizontal="center" vertical="center" wrapText="1"/>
    </xf>
    <xf numFmtId="0" fontId="23" fillId="30" borderId="1" applyAlignment="1" pivotButton="0" quotePrefix="0" xfId="0">
      <alignment horizontal="center" vertical="center" wrapText="1"/>
    </xf>
    <xf numFmtId="0" fontId="2" fillId="30" borderId="11" applyAlignment="1" pivotButton="0" quotePrefix="0" xfId="0">
      <alignment horizontal="left" vertical="center" wrapText="1"/>
    </xf>
    <xf numFmtId="0" fontId="2" fillId="30" borderId="11" applyAlignment="1" pivotButton="0" quotePrefix="0" xfId="0">
      <alignment horizontal="center" vertical="center" wrapText="1"/>
    </xf>
    <xf numFmtId="0" fontId="4" fillId="39" borderId="11" applyAlignment="1" pivotButton="0" quotePrefix="0" xfId="0">
      <alignment horizontal="center" vertical="center" wrapText="1"/>
    </xf>
    <xf numFmtId="0" fontId="4" fillId="39" borderId="11" applyAlignment="1" pivotButton="0" quotePrefix="0" xfId="0">
      <alignment horizontal="left" vertical="top" wrapText="1"/>
    </xf>
    <xf numFmtId="0" fontId="2" fillId="6" borderId="30" applyAlignment="1" pivotButton="0" quotePrefix="0" xfId="0">
      <alignment horizontal="center" vertical="center" wrapText="1"/>
    </xf>
    <xf numFmtId="0" fontId="2" fillId="30" borderId="30" applyAlignment="1" pivotButton="0" quotePrefix="0" xfId="0">
      <alignment horizontal="left" vertical="center" wrapText="1"/>
    </xf>
    <xf numFmtId="0" fontId="2" fillId="30" borderId="30" applyAlignment="1" pivotButton="0" quotePrefix="0" xfId="0">
      <alignment horizontal="center" vertical="center" wrapText="1"/>
    </xf>
    <xf numFmtId="0" fontId="4" fillId="39" borderId="30" applyAlignment="1" pivotButton="0" quotePrefix="0" xfId="0">
      <alignment horizontal="center" vertical="center" wrapText="1"/>
    </xf>
    <xf numFmtId="0" fontId="4" fillId="39" borderId="30" applyAlignment="1" pivotButton="0" quotePrefix="0" xfId="0">
      <alignment horizontal="left" vertical="top" wrapText="1"/>
    </xf>
    <xf numFmtId="0" fontId="23" fillId="39" borderId="1" applyAlignment="1" pivotButton="0" quotePrefix="0" xfId="0">
      <alignment horizontal="center" vertical="center" wrapText="1"/>
    </xf>
    <xf numFmtId="0" fontId="19" fillId="36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center" wrapText="1"/>
    </xf>
    <xf numFmtId="0" fontId="9" fillId="22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top" wrapText="1"/>
    </xf>
    <xf numFmtId="0" fontId="15" fillId="35" borderId="13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27" pivotButton="0" quotePrefix="0" xfId="0"/>
    <xf numFmtId="0" fontId="17" fillId="0" borderId="21" applyAlignment="1" pivotButton="0" quotePrefix="0" xfId="0">
      <alignment horizontal="left" vertical="top" wrapText="1"/>
    </xf>
    <xf numFmtId="0" fontId="0" fillId="0" borderId="22" pivotButton="0" quotePrefix="0" xfId="0"/>
    <xf numFmtId="0" fontId="0" fillId="0" borderId="23" pivotButton="0" quotePrefix="0" xfId="0"/>
    <xf numFmtId="0" fontId="14" fillId="0" borderId="21" applyAlignment="1" pivotButton="0" quotePrefix="0" xfId="0">
      <alignment horizontal="center"/>
    </xf>
    <xf numFmtId="0" fontId="16" fillId="31" borderId="21" applyAlignment="1" pivotButton="0" quotePrefix="0" xfId="0">
      <alignment horizontal="center" vertical="center" wrapText="1"/>
    </xf>
    <xf numFmtId="0" fontId="16" fillId="0" borderId="21" applyAlignment="1" pivotButton="0" quotePrefix="0" xfId="0">
      <alignment horizontal="center" vertical="top" wrapText="1"/>
    </xf>
    <xf numFmtId="0" fontId="19" fillId="35" borderId="12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5" fillId="3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4" fillId="0" borderId="0" pivotButton="0" quotePrefix="0" xfId="0"/>
    <xf numFmtId="0" fontId="19" fillId="35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1" fillId="3" borderId="0" pivotButton="0" quotePrefix="0" xfId="0"/>
    <xf numFmtId="0" fontId="1" fillId="3" borderId="0" applyAlignment="1" pivotButton="0" quotePrefix="0" xfId="0">
      <alignment wrapText="1"/>
    </xf>
    <xf numFmtId="0" fontId="1" fillId="0" borderId="1" applyAlignment="1" pivotButton="0" quotePrefix="0" xfId="0">
      <alignment horizontal="right"/>
    </xf>
    <xf numFmtId="0" fontId="0" fillId="0" borderId="4" pivotButton="0" quotePrefix="0" xfId="0"/>
    <xf numFmtId="0" fontId="0" fillId="0" borderId="16" pivotButton="0" quotePrefix="0" xfId="0"/>
    <xf numFmtId="0" fontId="4" fillId="0" borderId="0" applyAlignment="1" pivotButton="0" quotePrefix="0" xfId="0">
      <alignment horizontal="left"/>
    </xf>
    <xf numFmtId="0" fontId="12" fillId="0" borderId="21" applyAlignment="1" pivotButton="0" quotePrefix="0" xfId="0">
      <alignment horizontal="center"/>
    </xf>
    <xf numFmtId="0" fontId="6" fillId="26" borderId="2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9" fillId="22" borderId="0" applyAlignment="1" pivotButton="0" quotePrefix="0" xfId="0">
      <alignment vertical="top" wrapText="1"/>
    </xf>
    <xf numFmtId="0" fontId="8" fillId="21" borderId="0" applyAlignment="1" pivotButton="0" quotePrefix="0" xfId="0">
      <alignment horizontal="center"/>
    </xf>
    <xf numFmtId="0" fontId="7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6" fillId="11" borderId="0" pivotButton="0" quotePrefix="0" xfId="0"/>
    <xf numFmtId="0" fontId="5" fillId="0" borderId="0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CE4D6"/>
      <rgbColor rgb="FF888888"/>
      <rgbColor rgb="FF9999FF"/>
      <rgbColor rgb="FF993366"/>
      <rgbColor rgb="FFFFF2CC"/>
      <rgbColor rgb="FFDDEBF7"/>
      <rgbColor rgb="FF660066"/>
      <rgbColor rgb="FFFF8080"/>
      <rgbColor rgb="FF2E75B6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BF7"/>
      <rgbColor rgb="FFE2EFDA"/>
      <rgbColor rgb="FFFFE699"/>
      <rgbColor rgb="FFCCE5FF"/>
      <rgbColor rgb="FFF2F2F2"/>
      <rgbColor rgb="FFF8F8F8"/>
      <rgbColor rgb="FFFFE5CC"/>
      <rgbColor rgb="FF4472C4"/>
      <rgbColor rgb="FF33CCCC"/>
      <rgbColor rgb="FF99CC00"/>
      <rgbColor rgb="FFFFCC00"/>
      <rgbColor rgb="FFFF9900"/>
      <rgbColor rgb="FFFF6600"/>
      <rgbColor rgb="FF555555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zoomScaleNormal="100" workbookViewId="0">
      <selection activeCell="A3" sqref="A3:XFD3"/>
    </sheetView>
  </sheetViews>
  <sheetFormatPr baseColWidth="10" defaultColWidth="8.6640625" defaultRowHeight="11.4"/>
  <cols>
    <col width="36.44140625" customWidth="1" style="128" min="1" max="1"/>
    <col width="44.88671875" bestFit="1" customWidth="1" style="129" min="2" max="2"/>
    <col width="13" customWidth="1" style="129" min="3" max="3"/>
    <col width="35.77734375" bestFit="1" customWidth="1" style="129" min="4" max="4"/>
    <col width="8.6640625" customWidth="1" style="128" min="5" max="10"/>
    <col width="8.6640625" customWidth="1" style="128" min="11" max="16384"/>
  </cols>
  <sheetData>
    <row r="1" ht="14.4" customHeight="1">
      <c r="A1" s="185" t="inlineStr">
        <is>
          <t>PLANILLA MAESTRA DE EVALUACIÓN — TFG</t>
        </is>
      </c>
      <c r="B1" s="186" t="n"/>
      <c r="C1" s="186" t="n"/>
      <c r="D1" s="187" t="n"/>
    </row>
    <row r="2" ht="9" customHeight="1">
      <c r="A2" s="191" t="n"/>
      <c r="B2" s="189" t="n"/>
      <c r="C2" s="189" t="n"/>
      <c r="D2" s="190" t="n"/>
    </row>
    <row r="3" ht="24.6" customHeight="1">
      <c r="A3" s="141" t="inlineStr">
        <is>
          <t>Propósito</t>
        </is>
      </c>
      <c r="B3" s="188" t="inlineStr">
        <is>
          <t>Esta planilla es el instrumento práctico de evaluación del TFG. Reúne las evidencias del baseline y del pipeline IA, aplica las métricas definidas en los capítulos 4 y 5, y calcula los resultados que después se explican en el capítulo de análisis.</t>
        </is>
      </c>
      <c r="C3" s="189" t="n"/>
      <c r="D3" s="190" t="n"/>
    </row>
    <row r="4" ht="48" customHeight="1">
      <c r="A4" s="141" t="inlineStr">
        <is>
          <t>Alcance</t>
        </is>
      </c>
      <c r="B4" s="188" t="inlineStr">
        <is>
          <t>Política híbrida de evaluación: 
7 evaluaciones R1 baseline (una por familia, con Seguimiento agregado en una fila por sprint) + 
21 evaluaciones R1 pipeline (7 familias × 3 runs) 
= 28 evaluaciones R1 totales.</t>
        </is>
      </c>
      <c r="C4" s="189" t="n"/>
      <c r="D4" s="190" t="n"/>
    </row>
    <row r="5" ht="82.8" customHeight="1">
      <c r="A5" s="141" t="inlineStr">
        <is>
          <t>Cómo usar (orden)</t>
        </is>
      </c>
      <c r="B5" s="188" t="inlineStr">
        <is>
          <t>1) Revisar 01_A1_A2_inventario (A1/A2: artefactos IA y baseline).
2) Completar 02_R1_sintesis_artefactos y sus subinstrumentos R1: 03_R1_M1_checklist, 03b_R1_M1_resumen, 04_R1_M4_items y 05_R1_M3_contradicciones.
3) Revisar 06_P1_P2_pruebas (P1 validación técnica final + P2 checklist funcional).
4) Revisar 07_T1_T2_T3_tiempos (T1 ejecución automática IA, T2 esfuerzo humano/gate IA, T3 tiempos baseline).
5) Revisar 08_I1_incidencias (I1 incidencias).
6) Revisar 09_VD5_reproducibilidad (métricas M19-M21 derivadas de evidencias del caso IA).
7) Usar 10_AGREGADOS como lectura consolidada; algunas interpretaciones siguen requiriendo juicio cualitativo.</t>
        </is>
      </c>
      <c r="C5" s="189" t="n"/>
      <c r="D5" s="190" t="n"/>
    </row>
    <row r="6" ht="5.4" customHeight="1">
      <c r="A6" s="191" t="n"/>
      <c r="B6" s="189" t="n"/>
      <c r="C6" s="189" t="n"/>
      <c r="D6" s="190" t="n"/>
    </row>
    <row r="7" ht="12" customHeight="1">
      <c r="A7" s="192" t="inlineStr">
        <is>
          <t>Mapa de hojas, métricas y variables.</t>
        </is>
      </c>
      <c r="B7" s="189" t="n"/>
      <c r="C7" s="189" t="n"/>
      <c r="D7" s="190" t="n"/>
    </row>
    <row r="8" ht="12" customHeight="1">
      <c r="A8" s="126" t="inlineStr">
        <is>
          <t>Hoja</t>
        </is>
      </c>
      <c r="B8" s="126" t="inlineStr">
        <is>
          <t>Métricas</t>
        </is>
      </c>
      <c r="C8" s="126" t="inlineStr">
        <is>
          <t>VD</t>
        </is>
      </c>
      <c r="D8" s="126" t="inlineStr">
        <is>
          <t>Hipótesis / Rol</t>
        </is>
      </c>
    </row>
    <row r="9" ht="15" customHeight="1">
      <c r="A9" s="127" t="inlineStr">
        <is>
          <t>02_R1_sintesis_artefactos (+ 03, 03b, 04, 05)</t>
        </is>
      </c>
      <c r="B9" s="127" t="inlineStr">
        <is>
          <t>M1, M3, M4, M5</t>
        </is>
      </c>
      <c r="C9" s="127" t="inlineStr">
        <is>
          <t>VD1</t>
        </is>
      </c>
      <c r="D9" s="127" t="inlineStr">
        <is>
          <t>H2 (M1, M3, M4); M5 paralela, no contrasta H2</t>
        </is>
      </c>
    </row>
    <row r="10" ht="15" customHeight="1">
      <c r="A10" s="127" t="inlineStr">
        <is>
          <t>06_P1_P2_pruebas</t>
        </is>
      </c>
      <c r="B10" s="127" t="inlineStr">
        <is>
          <t>M6, M7, M-operatividad</t>
        </is>
      </c>
      <c r="C10" s="127" t="inlineStr">
        <is>
          <t>VD2</t>
        </is>
      </c>
      <c r="D10" s="127" t="inlineStr">
        <is>
          <t>Criterio mínimo de comparabilidad, sin hipótesis</t>
        </is>
      </c>
    </row>
    <row r="11" ht="15" customHeight="1">
      <c r="A11" s="127" t="inlineStr">
        <is>
          <t>07_T1_T2_T3_tiempos</t>
        </is>
      </c>
      <c r="B11" s="127" t="inlineStr">
        <is>
          <t>M17 principal; M15, M18 auxiliares; M16 descriptiva</t>
        </is>
      </c>
      <c r="C11" s="127" t="inlineStr">
        <is>
          <t>VD4</t>
        </is>
      </c>
      <c r="D11" s="127" t="inlineStr">
        <is>
          <t>H1</t>
        </is>
      </c>
    </row>
    <row r="12" ht="15" customHeight="1">
      <c r="A12" s="127" t="inlineStr">
        <is>
          <t>08_I1_incidencias</t>
        </is>
      </c>
      <c r="B12" s="127" t="inlineStr">
        <is>
          <t>M14 principal; M9, M10, M11, M12 auxiliares; M13 descriptiva</t>
        </is>
      </c>
      <c r="C12" s="127" t="inlineStr">
        <is>
          <t>VD3</t>
        </is>
      </c>
      <c r="D12" s="127" t="inlineStr">
        <is>
          <t>H3</t>
        </is>
      </c>
    </row>
    <row r="13" ht="15" customHeight="1">
      <c r="A13" s="127" t="inlineStr">
        <is>
          <t>09_VD5_reproducibilidad</t>
        </is>
      </c>
      <c r="B13" s="127" t="inlineStr">
        <is>
          <t>M19, M20, M21</t>
        </is>
      </c>
      <c r="C13" s="127" t="inlineStr">
        <is>
          <t>VD5</t>
        </is>
      </c>
      <c r="D13" s="127" t="inlineStr">
        <is>
          <t>Caracterización del caso IA, sin hipótesis</t>
        </is>
      </c>
    </row>
    <row r="14" ht="15" customHeight="1">
      <c r="A14" s="127" t="inlineStr">
        <is>
          <t>08b_aux_bitacora_decisiones</t>
        </is>
      </c>
      <c r="B14" s="127" t="inlineStr">
        <is>
          <t>—</t>
        </is>
      </c>
      <c r="C14" s="127" t="inlineStr">
        <is>
          <t>—</t>
        </is>
      </c>
      <c r="D14" s="127" t="inlineStr">
        <is>
          <t>Bitácora del instrumento; no contrasta hipótesis</t>
        </is>
      </c>
    </row>
    <row r="15" ht="6.6" customHeight="1">
      <c r="A15" s="193" t="n"/>
      <c r="B15" s="189" t="n"/>
      <c r="C15" s="189" t="n"/>
      <c r="D15" s="190" t="n"/>
    </row>
    <row r="16" ht="47.4" customHeight="1">
      <c r="A16" s="141" t="inlineStr">
        <is>
          <t>Código de colores</t>
        </is>
      </c>
      <c r="B16" s="188" t="inlineStr">
        <is>
          <t>Amarillo = celda manual (input). 
Verde = celda calculada. 
Azul claro = pipeline. 
Naranja claro = baseline.</t>
        </is>
      </c>
      <c r="C16" s="189" t="n"/>
      <c r="D16" s="190" t="n"/>
    </row>
    <row r="17" ht="69.59999999999999" customHeight="1">
      <c r="A17" s="141" t="inlineStr">
        <is>
          <t>Rúbricas y escalas.</t>
        </is>
      </c>
      <c r="B17" s="188" t="inlineStr">
        <is>
          <t>1) M1 ordinal 0–3: 0 ausente, 1 parcial (&lt;50 % o falta esencial), 2 sustancial (50–90 %), 3 completo (≥90 % + todos los esenciales).
2) M3 ordinal 0–3: 0 contradictorio (factual mayor o ≥3 contradicciones núcleo), 1 inconsistente (factual menor o 2–3 tipos), 2 coherente con fallos 
menores (≤2 terminológicas/granularidad), 3 coherente.
3) M4 porcentaje con cuatro tramos: 0–25 ausente/residual, 25–50 parcial, 50–75 sustancial, 75–100 alta.
4) M5 ordinal 0–4: suma directa de G1 (decisión), G2 (cambio), G3 (incidencia), G4 (aprobación/gate).
5) M-operatividad: 0 no arranca, 1 arranca pero flujo incompleto, 2 arranca y flujo mínimo completo.</t>
        </is>
      </c>
      <c r="C17" s="189" t="n"/>
      <c r="D17" s="190" t="n"/>
    </row>
    <row r="18" ht="81" customHeight="1">
      <c r="A18" s="141" t="inlineStr">
        <is>
          <t>Reglas de evaluación</t>
        </is>
      </c>
      <c r="B18" s="188" t="inlineStr">
        <is>
          <t>1) Regla 7 (cap. 4): toda evidencia se etiqueta como Original, Reconstruida o No disponible.
2) Criterio conservador (regla 3 del Anexo C): ante ambigüedad, contar como NO satisfecho y anotar.
3) Matching M4 baseline: textual con ≥3 palabras clave del dominio o mención literal de la función.
4) Matching M4 pipeline: ID explícito (booleano).
5) Si N &lt; 3 ítems en una familia, M4 no se calcula; se reporta como tal.
6) Incidencias sistemáticas del pipeline (patrones replicados en los tres runs) se contabilizan una sola vez por patrón, 
marcando los runs afectados. (O: «se contabilizan una vez por run», según decidas).</t>
        </is>
      </c>
      <c r="C18" s="189" t="n"/>
      <c r="D18" s="190" t="n"/>
    </row>
    <row r="19" ht="69" customHeight="1">
      <c r="A19" s="141" t="inlineStr">
        <is>
          <t>Hipótesis y criterio de veredicto.</t>
        </is>
      </c>
      <c r="B19" s="188" t="inlineStr">
        <is>
          <t>1) H1 (VD4): confirmada si M17 pipeline &lt; M17 baseline. Parcialmente sostenida si la ventaja existe pero depende de reconstrucción con incertidumbre.
2) H2 (VD1): confirmada si no aparece diferencia sustantiva desfavorable en M1/M3/M4 a través de las cinco familias. 
Parcialmente sostenida si la desventaja queda acotada a una dimensión. 
Rechazada si afecta a varias dimensiones.
3) H3 (VD3): confirmada si M14 pipeline &lt; M14 baseline y M13 &gt; 50 % (más de la mitad detectadas en gate humano).
4) VD2, VD5 y métricas descriptivas no tienen veredicto de hipótesis.</t>
        </is>
      </c>
      <c r="C19" s="189" t="n"/>
      <c r="D19" s="190" t="n"/>
    </row>
  </sheetData>
  <mergeCells count="12">
    <mergeCell ref="A1:D1"/>
    <mergeCell ref="B3:D3"/>
    <mergeCell ref="B19:D19"/>
    <mergeCell ref="B5:D5"/>
    <mergeCell ref="A6:D6"/>
    <mergeCell ref="B4:D4"/>
    <mergeCell ref="B17:D17"/>
    <mergeCell ref="B18:D18"/>
    <mergeCell ref="A7:D7"/>
    <mergeCell ref="A15:D15"/>
    <mergeCell ref="A2:D2"/>
    <mergeCell ref="B16:D16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zoomScale="70" zoomScaleNormal="70" workbookViewId="0">
      <pane ySplit="3" topLeftCell="A7" activePane="bottomLeft" state="frozen"/>
      <selection activeCell="C1" sqref="C1"/>
      <selection pane="bottomLeft" activeCell="H8" sqref="H8"/>
    </sheetView>
  </sheetViews>
  <sheetFormatPr baseColWidth="10" defaultColWidth="8.6640625" defaultRowHeight="13.2"/>
  <cols>
    <col width="21.5546875" customWidth="1" style="182" min="1" max="1"/>
    <col width="10.6640625" customWidth="1" style="16" min="2" max="2"/>
    <col width="10.109375" customWidth="1" style="16" min="3" max="3"/>
    <col width="14.88671875" customWidth="1" style="16" min="4" max="4"/>
    <col width="42.88671875" customWidth="1" style="16" min="5" max="5"/>
    <col width="95.33203125" customWidth="1" style="18" min="6" max="6"/>
    <col width="27.44140625" customWidth="1" style="182" min="7" max="7"/>
    <col width="14.6640625" customWidth="1" style="182" min="8" max="8"/>
    <col width="116" customWidth="1" style="16" min="9" max="9"/>
    <col width="8.6640625" customWidth="1" style="200" min="10" max="15"/>
    <col width="8.6640625" customWidth="1" style="200" min="16" max="16384"/>
  </cols>
  <sheetData>
    <row r="1" ht="24" customHeight="1">
      <c r="A1" s="194" t="inlineStr">
        <is>
          <t>A1/A2 — Inventario maestro de artefactos IA y baseline</t>
        </is>
      </c>
      <c r="B1" s="195" t="n"/>
      <c r="C1" s="195" t="n"/>
      <c r="D1" s="195" t="n"/>
      <c r="E1" s="195" t="n"/>
      <c r="F1" s="195" t="n"/>
      <c r="G1" s="195" t="n"/>
      <c r="H1" s="195" t="n"/>
      <c r="I1" s="196" t="n"/>
    </row>
    <row r="2">
      <c r="A2" s="131" t="n"/>
      <c r="B2" s="130" t="n"/>
      <c r="C2" s="130" t="n"/>
      <c r="D2" s="130" t="n"/>
      <c r="E2" s="130" t="n"/>
      <c r="F2" s="133" t="n"/>
      <c r="G2" s="131" t="n"/>
      <c r="H2" s="131" t="n"/>
      <c r="I2" s="130" t="n"/>
    </row>
    <row r="3" ht="34.8" customFormat="1" customHeight="1" s="150">
      <c r="A3" s="149" t="inlineStr">
        <is>
          <t>ID</t>
        </is>
      </c>
      <c r="B3" s="149" t="inlineStr">
        <is>
          <t>Caso</t>
        </is>
      </c>
      <c r="C3" s="149" t="inlineStr">
        <is>
          <t>Run</t>
        </is>
      </c>
      <c r="D3" s="149" t="inlineStr">
        <is>
          <t>Familia</t>
        </is>
      </c>
      <c r="E3" s="149" t="inlineStr">
        <is>
          <t>Artefacto</t>
        </is>
      </c>
      <c r="F3" s="149" t="inlineStr">
        <is>
          <t>Ruta</t>
        </is>
      </c>
      <c r="G3" s="149" t="inlineStr">
        <is>
          <t>Regla 7 (Original / Reconstr. / No disp.)</t>
        </is>
      </c>
      <c r="H3" s="149" t="inlineStr">
        <is>
          <t>Estado evaluación</t>
        </is>
      </c>
      <c r="I3" s="149" t="inlineStr">
        <is>
          <t>Observaciones</t>
        </is>
      </c>
    </row>
    <row r="4" ht="26.4" customFormat="1" customHeight="1" s="16">
      <c r="A4" s="99" t="inlineStr">
        <is>
          <t>ART-B-REQ</t>
        </is>
      </c>
      <c r="B4" s="99" t="inlineStr">
        <is>
          <t>Baseline</t>
        </is>
      </c>
      <c r="C4" s="99" t="inlineStr">
        <is>
          <t>—</t>
        </is>
      </c>
      <c r="D4" s="99" t="inlineStr">
        <is>
          <t>Requisitos</t>
        </is>
      </c>
      <c r="E4" s="114" t="inlineStr">
        <is>
          <t>Registro Requisitos + Matriz Trazabilidad</t>
        </is>
      </c>
      <c r="F4" s="114" t="inlineStr">
        <is>
          <t>resultados_baseline\REGISTRO DE REQUISITOS.pdf + resultados_baseline\MATRIZ TRAZABILIDAD DE REQUISITOS.pdf</t>
        </is>
      </c>
      <c r="G4" s="115" t="inlineStr">
        <is>
          <t>Original</t>
        </is>
      </c>
      <c r="H4" s="115" t="inlineStr">
        <is>
          <t>Evaluado</t>
        </is>
      </c>
      <c r="I4" s="116" t="inlineStr">
        <is>
          <t>Fuente completa baseline localizada en 04_codigo/04a_casoBase/documentacion: REGISTRO DE REQUISITOS.pdf y MATRIZ TRAZABILIDAD DE REQUISITOS.pdf. Actas Patrocinador 1-4 sirven como evidencia auxiliar de cambios y aceptacion de alcance.</t>
        </is>
      </c>
    </row>
    <row r="5" ht="39.6" customFormat="1" customHeight="1" s="16">
      <c r="A5" s="99" t="inlineStr">
        <is>
          <t>ART-B-PLAN</t>
        </is>
      </c>
      <c r="B5" s="99" t="inlineStr">
        <is>
          <t>Baseline</t>
        </is>
      </c>
      <c r="C5" s="99" t="inlineStr">
        <is>
          <t>—</t>
        </is>
      </c>
      <c r="D5" s="99" t="inlineStr">
        <is>
          <t>Planificación</t>
        </is>
      </c>
      <c r="E5" s="114" t="inlineStr">
        <is>
          <t>Sprint Plannings + Product Backlogs S1-S2-S3</t>
        </is>
      </c>
      <c r="F5" s="114" t="inlineStr">
        <is>
          <t>resultados_baseline\Sprint 1 - Planning.pdf + resultados_baseline\Sprint 2 - Planning.pdf + resultados_baseline\Sprint 3 - Planning.pdf + resultados_baseline\Sprint 1 - Product Backlog.pdf + resultados_baseline\Sprint 2 - Product Backlog.pdf + resultados_baseline\Sprint 3 - Product Backlog.pdf</t>
        </is>
      </c>
      <c r="G5" s="115" t="inlineStr">
        <is>
          <t>Original</t>
        </is>
      </c>
      <c r="H5" s="115" t="inlineStr">
        <is>
          <t>Evaluado</t>
        </is>
      </c>
      <c r="I5" s="116" t="inlineStr">
        <is>
          <t>Familia agregada: 3 sprints evaluados como conjunto. Fuente completa baseline localizada en documentacion/EJECUCION/Sprint 1-3. Fuentes auxiliares H1/planificacion: REGISTRO DE RIESGOS, CRONOGRAMA Y PRESUPUESTO, DICCIONARIO EDT, ATRIBUTOS DE ACTIVIDAD y PLAN DE GESTION DEL CRONOGRAMA.</t>
        </is>
      </c>
    </row>
    <row r="6" ht="26.4" customFormat="1" customHeight="1" s="16">
      <c r="A6" s="99" t="inlineStr">
        <is>
          <t>ART-B-DIS</t>
        </is>
      </c>
      <c r="B6" s="99" t="inlineStr">
        <is>
          <t>Baseline</t>
        </is>
      </c>
      <c r="C6" s="99" t="inlineStr">
        <is>
          <t>—</t>
        </is>
      </c>
      <c r="D6" s="99" t="inlineStr">
        <is>
          <t>Diseño técnico</t>
        </is>
      </c>
      <c r="E6" s="114" t="inlineStr">
        <is>
          <t>Auditoría posthoc 02_ARQUITECTURA + 03_MODELO_DATOS</t>
        </is>
      </c>
      <c r="F6" s="114" t="inlineStr">
        <is>
          <t>resultados_baseline\02_ARQUITECTURA.md + resultados_baseline\03_MODELO_DE_DATOS.md</t>
        </is>
      </c>
      <c r="G6" s="115" t="inlineStr">
        <is>
          <t>Reconstruida</t>
        </is>
      </c>
      <c r="H6" s="115" t="inlineStr">
        <is>
          <t>Evaluado</t>
        </is>
      </c>
      <c r="I6" s="116" t="inlineStr">
        <is>
          <t>Asimetria estructural mayor: baseline no produjo diseno tecnico original. Evidencia reconstruida principal y auxiliar localizada en documentacion/DISENO TECNICO (RECONSTRUIDO).</t>
        </is>
      </c>
    </row>
    <row r="7" ht="105.6" customFormat="1" customHeight="1" s="16">
      <c r="A7" s="99" t="inlineStr">
        <is>
          <t>ART-B-SEG-S1</t>
        </is>
      </c>
      <c r="B7" s="99" t="inlineStr">
        <is>
          <t>Baseline</t>
        </is>
      </c>
      <c r="C7" s="99" t="inlineStr">
        <is>
          <t>—</t>
        </is>
      </c>
      <c r="D7" s="99" t="inlineStr">
        <is>
          <t>Seguimiento</t>
        </is>
      </c>
      <c r="E7" s="114" t="inlineStr">
        <is>
          <t>Sprint Review 1 + Retrospective 1</t>
        </is>
      </c>
      <c r="F7" s="114" t="inlineStr">
        <is>
          <t>resultados_baseline\Sprint 1 - Review.pdf + resultados_baseline\Sprint 1 - Retrospetive.pdf</t>
        </is>
      </c>
      <c r="G7" s="115" t="inlineStr">
        <is>
          <t>Original</t>
        </is>
      </c>
      <c r="H7" s="115" t="inlineStr">
        <is>
          <t>Evaluado</t>
        </is>
      </c>
      <c r="I7" s="116" t="inlineStr">
        <is>
          <t>Fuente completa baseline: 04_codigo\04a_casoBase\documentacion\EJECUCIÓN\Sprint 1\Sprint 1 - Review.pdf + 04_codigo\04a_casoBase\documentacion\EJECUCIÓN\Sprint 1\Sprint 1 - Retrospetive.pdf. Evidencia auxiliar de gobernanza/incidencias: 04_codigo\04a_casoBase\documentacion\EJECUCIÓN\REGISTRO DE INCIDENCIAS.pdf + 04_codigo\04a_casoBase\documentacion\EJECUCIÓN\REGISTRO DE CAMBIOS.pdf + 04_codigo\04a_casoBase\documentacion\EJECUCIÓN\REGISTRO DE DECISIONES.pdf + 04_codigo\04a_casoBase\documentacion\SEGUIMIENTO\Daily Scrum Sprint 1.pdf + 04_codigo\04a_casoBase\documentacion\SEGUIMIENTO\Daily Scrum Sprint 2.pdf + 04_codigo\04a_casoBase\documentacion\SEGUIMIENTO\Daily Scrum Sprint 3.pdf.</t>
        </is>
      </c>
    </row>
    <row r="8" ht="105.6" customFormat="1" customHeight="1" s="16">
      <c r="A8" s="99" t="inlineStr">
        <is>
          <t>ART-B-SEG-S2</t>
        </is>
      </c>
      <c r="B8" s="99" t="inlineStr">
        <is>
          <t>Baseline</t>
        </is>
      </c>
      <c r="C8" s="99" t="inlineStr">
        <is>
          <t>—</t>
        </is>
      </c>
      <c r="D8" s="99" t="inlineStr">
        <is>
          <t>Seguimiento</t>
        </is>
      </c>
      <c r="E8" s="114" t="inlineStr">
        <is>
          <t>Sprint Review 2 + Retrospective 2</t>
        </is>
      </c>
      <c r="F8" s="114" t="inlineStr">
        <is>
          <t>resultados_baseline\Sprint 2 - Review.pdf + resultados_baseline\Sprint 2 - Retrospetive.pdf</t>
        </is>
      </c>
      <c r="G8" s="115" t="inlineStr">
        <is>
          <t>Original</t>
        </is>
      </c>
      <c r="H8" s="115" t="inlineStr">
        <is>
          <t>Evaluado</t>
        </is>
      </c>
      <c r="I8" s="116" t="inlineStr">
        <is>
          <t>Fuente completa baseline: 04_codigo\04a_casoBase\documentacion\EJECUCIÓN\Sprint 2\Sprint 2 - Review.pdf + 04_codigo\04a_casoBase\documentacion\EJECUCIÓN\Sprint 2\Sprint 2 - Retrospetive.pdf. Evidencia auxiliar de gobernanza/incidencias: 04_codigo\04a_casoBase\documentacion\EJECUCIÓN\REGISTRO DE INCIDENCIAS.pdf + 04_codigo\04a_casoBase\documentacion\EJECUCIÓN\REGISTRO DE CAMBIOS.pdf + 04_codigo\04a_casoBase\documentacion\EJECUCIÓN\REGISTRO DE DECISIONES.pdf + 04_codigo\04a_casoBase\documentacion\SEGUIMIENTO\Daily Scrum Sprint 1.pdf + 04_codigo\04a_casoBase\documentacion\SEGUIMIENTO\Daily Scrum Sprint 2.pdf + 04_codigo\04a_casoBase\documentacion\SEGUIMIENTO\Daily Scrum Sprint 3.pdf.</t>
        </is>
      </c>
    </row>
    <row r="9" ht="105.6" customFormat="1" customHeight="1" s="16">
      <c r="A9" s="99" t="inlineStr">
        <is>
          <t>ART-B-SEG-S3</t>
        </is>
      </c>
      <c r="B9" s="99" t="inlineStr">
        <is>
          <t>Baseline</t>
        </is>
      </c>
      <c r="C9" s="99" t="inlineStr">
        <is>
          <t>—</t>
        </is>
      </c>
      <c r="D9" s="99" t="inlineStr">
        <is>
          <t>Seguimiento</t>
        </is>
      </c>
      <c r="E9" s="114" t="inlineStr">
        <is>
          <t>Sprint Review 3 + Retrospective 3</t>
        </is>
      </c>
      <c r="F9" s="114" t="inlineStr">
        <is>
          <t>resultados_baseline\Sprint 3 - Review.pdf + resultados_baseline\Sprint 3 - Retrospetive.pdf</t>
        </is>
      </c>
      <c r="G9" s="115" t="inlineStr">
        <is>
          <t>Original</t>
        </is>
      </c>
      <c r="H9" s="115" t="inlineStr">
        <is>
          <t>Evaluado</t>
        </is>
      </c>
      <c r="I9" s="116" t="inlineStr">
        <is>
          <t>Fuente completa baseline: 04_codigo\04a_casoBase\documentacion\EJECUCIÓN\Sprint 3\Sprint 3 - Review.pdf + 04_codigo\04a_casoBase\documentacion\EJECUCIÓN\Sprint 3\Sprint 3 - Retrospetive.pdf. Evidencia auxiliar de gobernanza/incidencias: 04_codigo\04a_casoBase\documentacion\EJECUCIÓN\REGISTRO DE INCIDENCIAS.pdf + 04_codigo\04a_casoBase\documentacion\EJECUCIÓN\REGISTRO DE CAMBIOS.pdf + 04_codigo\04a_casoBase\documentacion\EJECUCIÓN\REGISTRO DE DECISIONES.pdf + 04_codigo\04a_casoBase\documentacion\SEGUIMIENTO\Daily Scrum Sprint 1.pdf + 04_codigo\04a_casoBase\documentacion\SEGUIMIENTO\Daily Scrum Sprint 2.pdf + 04_codigo\04a_casoBase\documentacion\SEGUIMIENTO\Daily Scrum Sprint 3.pdf.</t>
        </is>
      </c>
    </row>
    <row r="10" ht="79.8" customFormat="1" customHeight="1" s="16" thickBot="1">
      <c r="A10" s="113" t="inlineStr">
        <is>
          <t>ART-B-CIE</t>
        </is>
      </c>
      <c r="B10" s="113" t="inlineStr">
        <is>
          <t>Baseline</t>
        </is>
      </c>
      <c r="C10" s="113" t="inlineStr">
        <is>
          <t>—</t>
        </is>
      </c>
      <c r="D10" s="113" t="inlineStr">
        <is>
          <t>Cierre</t>
        </is>
      </c>
      <c r="E10" s="117" t="inlineStr">
        <is>
          <t>Lecciones Aprendidas + Informe de cierre</t>
        </is>
      </c>
      <c r="F10" s="117" t="inlineStr">
        <is>
          <t>resultados_baseline\Lecciones aprendidas.pdf + resultados_baseline\Informe de cierre.pdf</t>
        </is>
      </c>
      <c r="G10" s="118" t="inlineStr">
        <is>
          <t>Original</t>
        </is>
      </c>
      <c r="H10" s="118" t="inlineStr">
        <is>
          <t>Evaluado</t>
        </is>
      </c>
      <c r="I10" s="119" t="inlineStr">
        <is>
          <t>Fuente completa baseline: 04_codigo\04a_casoBase\documentacion\CIERRE\Lecciones aprendidas.pdf + 04_codigo\04a_casoBase\documentacion\CIERRE\Informe de cierre.pdf. Evidencia auxiliar de cierre/seguimiento: 04_codigo\04a_casoBase\documentacion\SEGUIMIENTO\Cierre\Informe de Seguimiento - Cierre.pdf + 04_codigo\04a_casoBase\documentacion\SEGUIMIENTO\Cierre\Valor Ganado Cierre.pdf + 04_codigo\04a_casoBase\documentacion\SEGUIMIENTO\Cierre\Informe de Costos - Cierre.pdf + 04_codigo\04a_casoBase\documentacion\CIERRE\PROJECT CIERRE.pdf.</t>
        </is>
      </c>
    </row>
    <row r="11" ht="30" customFormat="1" customHeight="1" s="16">
      <c r="A11" s="142" t="inlineStr">
        <is>
          <t>ART-run_01-REQ</t>
        </is>
      </c>
      <c r="B11" s="142" t="inlineStr">
        <is>
          <t>Pipeline</t>
        </is>
      </c>
      <c r="C11" s="142" t="inlineStr">
        <is>
          <t>run_01</t>
        </is>
      </c>
      <c r="D11" s="142" t="inlineStr">
        <is>
          <t>Requisitos</t>
        </is>
      </c>
      <c r="E11" s="120" t="inlineStr">
        <is>
          <t>registro_requisitos.json + .md</t>
        </is>
      </c>
      <c r="F11" s="120" t="inlineStr">
        <is>
          <t>resultados_pipeline\IA_OFICIAL_01\02_artefactos_generados\registro_requisitos.json + resultados_pipeline\IA_OFICIAL_01\02_artefactos_generados\registro_requisitos.md</t>
        </is>
      </c>
      <c r="G11" s="121" t="inlineStr">
        <is>
          <t>Original</t>
        </is>
      </c>
      <c r="H11" s="121" t="inlineStr">
        <is>
          <t>Evaluado</t>
        </is>
      </c>
      <c r="I11" s="122" t="n"/>
    </row>
    <row r="12" ht="40.2" customFormat="1" customHeight="1" s="16">
      <c r="A12" s="143" t="inlineStr">
        <is>
          <t>ART-run_01-PLAN</t>
        </is>
      </c>
      <c r="B12" s="143" t="inlineStr">
        <is>
          <t>Pipeline</t>
        </is>
      </c>
      <c r="C12" s="143" t="inlineStr">
        <is>
          <t>run_01</t>
        </is>
      </c>
      <c r="D12" s="143" t="inlineStr">
        <is>
          <t>Planificación</t>
        </is>
      </c>
      <c r="E12" s="114" t="inlineStr">
        <is>
          <t>backlog + plan_sprints + riesgos</t>
        </is>
      </c>
      <c r="F12" s="114" t="inlineStr">
        <is>
          <t>resultados_pipeline\IA_OFICIAL_01\02_artefactos_generados\backlog.json + resultados_pipeline\IA_OFICIAL_01\02_artefactos_generados\plan_sprints.json + resultados_pipeline\IA_OFICIAL_01\02_artefactos_generados\riesgos.json (+ versiones .md)</t>
        </is>
      </c>
      <c r="G12" s="115" t="inlineStr">
        <is>
          <t>Original</t>
        </is>
      </c>
      <c r="H12" s="115" t="inlineStr">
        <is>
          <t>Evaluado</t>
        </is>
      </c>
      <c r="I12" s="116" t="n"/>
    </row>
    <row r="13" ht="28.2" customFormat="1" customHeight="1" s="16">
      <c r="A13" s="143" t="inlineStr">
        <is>
          <t>ART-run_01-DIS</t>
        </is>
      </c>
      <c r="B13" s="143" t="inlineStr">
        <is>
          <t>Pipeline</t>
        </is>
      </c>
      <c r="C13" s="143" t="inlineStr">
        <is>
          <t>run_01</t>
        </is>
      </c>
      <c r="D13" s="143" t="inlineStr">
        <is>
          <t>Diseño técnico</t>
        </is>
      </c>
      <c r="E13" s="114" t="inlineStr">
        <is>
          <t>diseno_tecnico.json + .md</t>
        </is>
      </c>
      <c r="F13" s="114" t="inlineStr">
        <is>
          <t>resultados_pipeline\IA_OFICIAL_01\02_artefactos_generados\diseno_tecnico.json + resultados_pipeline\IA_OFICIAL_01\02_artefactos_generados\diseno_tecnico.md</t>
        </is>
      </c>
      <c r="G13" s="115" t="inlineStr">
        <is>
          <t>Original</t>
        </is>
      </c>
      <c r="H13" s="115" t="inlineStr">
        <is>
          <t>Evaluado</t>
        </is>
      </c>
      <c r="I13" s="116" t="n"/>
    </row>
    <row r="14" ht="30.6" customFormat="1" customHeight="1" s="16">
      <c r="A14" s="143" t="inlineStr">
        <is>
          <t>ART-run_01-SEG-S1</t>
        </is>
      </c>
      <c r="B14" s="143" t="inlineStr">
        <is>
          <t>Pipeline</t>
        </is>
      </c>
      <c r="C14" s="143" t="inlineStr">
        <is>
          <t>run_01</t>
        </is>
      </c>
      <c r="D14" s="143" t="inlineStr">
        <is>
          <t>Seguimiento</t>
        </is>
      </c>
      <c r="E14" s="114" t="inlineStr">
        <is>
          <t>review_sprint_1.json + .md</t>
        </is>
      </c>
      <c r="F14" s="114" t="inlineStr">
        <is>
          <t>resultados_pipeline\IA_OFICIAL_01\03_sprints\review_sprint_1.json + resultados_pipeline\IA_OFICIAL_01\03_sprints\review_sprint_1.md</t>
        </is>
      </c>
      <c r="G14" s="115" t="inlineStr">
        <is>
          <t>Original</t>
        </is>
      </c>
      <c r="H14" s="115" t="inlineStr">
        <is>
          <t>Evaluado</t>
        </is>
      </c>
      <c r="I14" s="116" t="n"/>
    </row>
    <row r="15" ht="30.6" customFormat="1" customHeight="1" s="16">
      <c r="A15" s="143" t="inlineStr">
        <is>
          <t>ART-run_01-SEG-S2</t>
        </is>
      </c>
      <c r="B15" s="143" t="inlineStr">
        <is>
          <t>Pipeline</t>
        </is>
      </c>
      <c r="C15" s="143" t="inlineStr">
        <is>
          <t>run_01</t>
        </is>
      </c>
      <c r="D15" s="143" t="inlineStr">
        <is>
          <t>Seguimiento</t>
        </is>
      </c>
      <c r="E15" s="114" t="inlineStr">
        <is>
          <t>review_sprint_2.json + .md</t>
        </is>
      </c>
      <c r="F15" s="114" t="inlineStr">
        <is>
          <t>resultados_pipeline\IA_OFICIAL_01\03_sprints\review_sprint_2.json + resultados_pipeline\IA_OFICIAL_01\03_sprints\review_sprint_2.md</t>
        </is>
      </c>
      <c r="G15" s="115" t="inlineStr">
        <is>
          <t>Original</t>
        </is>
      </c>
      <c r="H15" s="115" t="inlineStr">
        <is>
          <t>Evaluado</t>
        </is>
      </c>
      <c r="I15" s="116" t="n"/>
    </row>
    <row r="16" ht="30.6" customFormat="1" customHeight="1" s="16">
      <c r="A16" s="143" t="inlineStr">
        <is>
          <t>ART-run_01-SEG-S3</t>
        </is>
      </c>
      <c r="B16" s="143" t="inlineStr">
        <is>
          <t>Pipeline</t>
        </is>
      </c>
      <c r="C16" s="143" t="inlineStr">
        <is>
          <t>run_01</t>
        </is>
      </c>
      <c r="D16" s="143" t="inlineStr">
        <is>
          <t>Seguimiento</t>
        </is>
      </c>
      <c r="E16" s="114" t="inlineStr">
        <is>
          <t>review_sprint_3.json + .md</t>
        </is>
      </c>
      <c r="F16" s="114" t="inlineStr">
        <is>
          <t>resultados_pipeline\IA_OFICIAL_01\03_sprints\review_sprint_3.json + resultados_pipeline\IA_OFICIAL_01\03_sprints\review_sprint_3.md</t>
        </is>
      </c>
      <c r="G16" s="115" t="inlineStr">
        <is>
          <t>Original</t>
        </is>
      </c>
      <c r="H16" s="115" t="inlineStr">
        <is>
          <t>Evaluado</t>
        </is>
      </c>
      <c r="I16" s="116" t="n"/>
    </row>
    <row r="17" ht="38.4" customFormat="1" customHeight="1" s="16" thickBot="1">
      <c r="A17" s="144" t="inlineStr">
        <is>
          <t>ART-run_01-CIE</t>
        </is>
      </c>
      <c r="B17" s="144" t="inlineStr">
        <is>
          <t>Pipeline</t>
        </is>
      </c>
      <c r="C17" s="144" t="inlineStr">
        <is>
          <t>run_01</t>
        </is>
      </c>
      <c r="D17" s="144" t="inlineStr">
        <is>
          <t>Cierre</t>
        </is>
      </c>
      <c r="E17" s="117" t="inlineStr">
        <is>
          <t>lecciones_aprendidas.md + review_final.md + readme.md</t>
        </is>
      </c>
      <c r="F17" s="117" t="inlineStr">
        <is>
          <t>resultados_pipeline\IA_OFICIAL_01\04_cierre\lecciones_aprendidas.md + resultados_pipeline\IA_OFICIAL_01\00_manifest\review_final.md + resultados_pipeline\IA_OFICIAL_01\04_cierre\readme.md</t>
        </is>
      </c>
      <c r="G17" s="118" t="inlineStr">
        <is>
          <t>Original</t>
        </is>
      </c>
      <c r="H17" s="118" t="inlineStr">
        <is>
          <t>Evaluado</t>
        </is>
      </c>
      <c r="I17" s="119" t="n"/>
    </row>
    <row r="18" ht="33" customFormat="1" customHeight="1" s="16">
      <c r="A18" s="145" t="inlineStr">
        <is>
          <t>ART-run_02-REQ</t>
        </is>
      </c>
      <c r="B18" s="145" t="inlineStr">
        <is>
          <t>Pipeline</t>
        </is>
      </c>
      <c r="C18" s="145" t="inlineStr">
        <is>
          <t>run_02</t>
        </is>
      </c>
      <c r="D18" s="145" t="inlineStr">
        <is>
          <t>Requisitos</t>
        </is>
      </c>
      <c r="E18" s="123" t="inlineStr">
        <is>
          <t>registro_requisitos.json + .md</t>
        </is>
      </c>
      <c r="F18" s="123" t="inlineStr">
        <is>
          <t>resultados_pipeline\IA_OFICIAL_02\02_artefactos_generados\registro_requisitos.json + resultados_pipeline\IA_OFICIAL_02\02_artefactos_generados\registro_requisitos.md</t>
        </is>
      </c>
      <c r="G18" s="124" t="inlineStr">
        <is>
          <t>Original</t>
        </is>
      </c>
      <c r="H18" s="124" t="inlineStr">
        <is>
          <t>Evaluado</t>
        </is>
      </c>
      <c r="I18" s="125" t="n"/>
    </row>
    <row r="19" ht="42" customFormat="1" customHeight="1" s="16">
      <c r="A19" s="143" t="inlineStr">
        <is>
          <t>ART-run_02-PLAN</t>
        </is>
      </c>
      <c r="B19" s="143" t="inlineStr">
        <is>
          <t>Pipeline</t>
        </is>
      </c>
      <c r="C19" s="143" t="inlineStr">
        <is>
          <t>run_02</t>
        </is>
      </c>
      <c r="D19" s="143" t="inlineStr">
        <is>
          <t>Planificación</t>
        </is>
      </c>
      <c r="E19" s="114" t="inlineStr">
        <is>
          <t>backlog + plan_sprints + riesgos</t>
        </is>
      </c>
      <c r="F19" s="114" t="inlineStr">
        <is>
          <t>resultados_pipeline\IA_OFICIAL_02\02_artefactos_generados\backlog.json + resultados_pipeline\IA_OFICIAL_02\02_artefactos_generados\plan_sprints.json + resultados_pipeline\IA_OFICIAL_02\02_artefactos_generados\riesgos.json (+ versiones .md)</t>
        </is>
      </c>
      <c r="G19" s="115" t="inlineStr">
        <is>
          <t>Original</t>
        </is>
      </c>
      <c r="H19" s="115" t="inlineStr">
        <is>
          <t>Evaluado</t>
        </is>
      </c>
      <c r="I19" s="116" t="n"/>
    </row>
    <row r="20" ht="30.6" customFormat="1" customHeight="1" s="16">
      <c r="A20" s="143" t="inlineStr">
        <is>
          <t>ART-run_02-DIS</t>
        </is>
      </c>
      <c r="B20" s="143" t="inlineStr">
        <is>
          <t>Pipeline</t>
        </is>
      </c>
      <c r="C20" s="143" t="inlineStr">
        <is>
          <t>run_02</t>
        </is>
      </c>
      <c r="D20" s="143" t="inlineStr">
        <is>
          <t>Diseño técnico</t>
        </is>
      </c>
      <c r="E20" s="114" t="inlineStr">
        <is>
          <t>diseno_tecnico.json + .md</t>
        </is>
      </c>
      <c r="F20" s="114" t="inlineStr">
        <is>
          <t>resultados_pipeline\IA_OFICIAL_02\02_artefactos_generados\diseno_tecnico.json + resultados_pipeline\IA_OFICIAL_02\02_artefactos_generados\diseno_tecnico.md</t>
        </is>
      </c>
      <c r="G20" s="115" t="inlineStr">
        <is>
          <t>Original</t>
        </is>
      </c>
      <c r="H20" s="115" t="inlineStr">
        <is>
          <t>Evaluado</t>
        </is>
      </c>
      <c r="I20" s="116" t="n"/>
    </row>
    <row r="21" ht="30.6" customFormat="1" customHeight="1" s="16">
      <c r="A21" s="143" t="inlineStr">
        <is>
          <t>ART-run_02-SEG-S1</t>
        </is>
      </c>
      <c r="B21" s="143" t="inlineStr">
        <is>
          <t>Pipeline</t>
        </is>
      </c>
      <c r="C21" s="143" t="inlineStr">
        <is>
          <t>run_02</t>
        </is>
      </c>
      <c r="D21" s="143" t="inlineStr">
        <is>
          <t>Seguimiento</t>
        </is>
      </c>
      <c r="E21" s="114" t="inlineStr">
        <is>
          <t>review_sprint_1.json + .md</t>
        </is>
      </c>
      <c r="F21" s="114" t="inlineStr">
        <is>
          <t>resultados_pipeline\IA_OFICIAL_02\03_sprints\review_sprint_1.json + resultados_pipeline\IA_OFICIAL_02\03_sprints\review_sprint_1.md</t>
        </is>
      </c>
      <c r="G21" s="115" t="inlineStr">
        <is>
          <t>Original</t>
        </is>
      </c>
      <c r="H21" s="115" t="inlineStr">
        <is>
          <t>Evaluado</t>
        </is>
      </c>
      <c r="I21" s="116" t="n"/>
    </row>
    <row r="22" ht="30.6" customFormat="1" customHeight="1" s="16">
      <c r="A22" s="143" t="inlineStr">
        <is>
          <t>ART-run_02-SEG-S2</t>
        </is>
      </c>
      <c r="B22" s="143" t="inlineStr">
        <is>
          <t>Pipeline</t>
        </is>
      </c>
      <c r="C22" s="143" t="inlineStr">
        <is>
          <t>run_02</t>
        </is>
      </c>
      <c r="D22" s="143" t="inlineStr">
        <is>
          <t>Seguimiento</t>
        </is>
      </c>
      <c r="E22" s="114" t="inlineStr">
        <is>
          <t>review_sprint_2.json + .md</t>
        </is>
      </c>
      <c r="F22" s="114" t="inlineStr">
        <is>
          <t>resultados_pipeline\IA_OFICIAL_02\03_sprints\review_sprint_2.json + resultados_pipeline\IA_OFICIAL_02\03_sprints\review_sprint_2.md</t>
        </is>
      </c>
      <c r="G22" s="115" t="inlineStr">
        <is>
          <t>Original</t>
        </is>
      </c>
      <c r="H22" s="115" t="inlineStr">
        <is>
          <t>Evaluado</t>
        </is>
      </c>
      <c r="I22" s="116" t="n"/>
    </row>
    <row r="23" ht="30.6" customFormat="1" customHeight="1" s="16">
      <c r="A23" s="143" t="inlineStr">
        <is>
          <t>ART-run_02-SEG-S3</t>
        </is>
      </c>
      <c r="B23" s="143" t="inlineStr">
        <is>
          <t>Pipeline</t>
        </is>
      </c>
      <c r="C23" s="143" t="inlineStr">
        <is>
          <t>run_02</t>
        </is>
      </c>
      <c r="D23" s="143" t="inlineStr">
        <is>
          <t>Seguimiento</t>
        </is>
      </c>
      <c r="E23" s="114" t="inlineStr">
        <is>
          <t>review_sprint_3.json + .md</t>
        </is>
      </c>
      <c r="F23" s="114" t="inlineStr">
        <is>
          <t>resultados_pipeline\IA_OFICIAL_02\03_sprints\review_sprint_3.json + resultados_pipeline\IA_OFICIAL_02\03_sprints\review_sprint_3.md</t>
        </is>
      </c>
      <c r="G23" s="115" t="inlineStr">
        <is>
          <t>Original</t>
        </is>
      </c>
      <c r="H23" s="115" t="inlineStr">
        <is>
          <t>Evaluado</t>
        </is>
      </c>
      <c r="I23" s="116" t="n"/>
    </row>
    <row r="24" ht="44.4" customFormat="1" customHeight="1" s="16" thickBot="1">
      <c r="A24" s="144" t="inlineStr">
        <is>
          <t>ART-run_02-CIE</t>
        </is>
      </c>
      <c r="B24" s="144" t="inlineStr">
        <is>
          <t>Pipeline</t>
        </is>
      </c>
      <c r="C24" s="144" t="inlineStr">
        <is>
          <t>run_02</t>
        </is>
      </c>
      <c r="D24" s="144" t="inlineStr">
        <is>
          <t>Cierre</t>
        </is>
      </c>
      <c r="E24" s="117" t="inlineStr">
        <is>
          <t>lecciones_aprendidas.md + review_final.md + readme.md</t>
        </is>
      </c>
      <c r="F24" s="117" t="inlineStr">
        <is>
          <t>resultados_pipeline\IA_OFICIAL_02\04_cierre\lecciones_aprendidas.md + resultados_pipeline\IA_OFICIAL_02\00_manifest\review_final.md + resultados_pipeline\IA_OFICIAL_02\04_cierre\readme.md</t>
        </is>
      </c>
      <c r="G24" s="118" t="inlineStr">
        <is>
          <t>Original</t>
        </is>
      </c>
      <c r="H24" s="118" t="inlineStr">
        <is>
          <t>Evaluado</t>
        </is>
      </c>
      <c r="I24" s="119" t="n"/>
    </row>
    <row r="25" ht="28.8" customFormat="1" customHeight="1" s="16">
      <c r="A25" s="145" t="inlineStr">
        <is>
          <t>ART-run_03-REQ</t>
        </is>
      </c>
      <c r="B25" s="145" t="inlineStr">
        <is>
          <t>Pipeline</t>
        </is>
      </c>
      <c r="C25" s="145" t="inlineStr">
        <is>
          <t>run_03</t>
        </is>
      </c>
      <c r="D25" s="145" t="inlineStr">
        <is>
          <t>Requisitos</t>
        </is>
      </c>
      <c r="E25" s="123" t="inlineStr">
        <is>
          <t>registro_requisitos.json + .md</t>
        </is>
      </c>
      <c r="F25" s="123" t="inlineStr">
        <is>
          <t>resultados_pipeline\IA_OFICIAL_03\02_artefactos_generados\registro_requisitos.json + resultados_pipeline\IA_OFICIAL_03\02_artefactos_generados\registro_requisitos.md</t>
        </is>
      </c>
      <c r="G25" s="124" t="inlineStr">
        <is>
          <t>Original</t>
        </is>
      </c>
      <c r="H25" s="124" t="inlineStr">
        <is>
          <t>Evaluado</t>
        </is>
      </c>
      <c r="I25" s="125" t="n"/>
    </row>
    <row r="26" ht="38.4" customFormat="1" customHeight="1" s="16">
      <c r="A26" s="143" t="inlineStr">
        <is>
          <t>ART-run_03-PLAN</t>
        </is>
      </c>
      <c r="B26" s="143" t="inlineStr">
        <is>
          <t>Pipeline</t>
        </is>
      </c>
      <c r="C26" s="143" t="inlineStr">
        <is>
          <t>run_03</t>
        </is>
      </c>
      <c r="D26" s="143" t="inlineStr">
        <is>
          <t>Planificación</t>
        </is>
      </c>
      <c r="E26" s="114" t="inlineStr">
        <is>
          <t>backlog + plan_sprints + riesgos</t>
        </is>
      </c>
      <c r="F26" s="114" t="inlineStr">
        <is>
          <t>resultados_pipeline\IA_OFICIAL_03\02_artefactos_generados\backlog.json + resultados_pipeline\IA_OFICIAL_03\02_artefactos_generados\plan_sprints.json + resultados_pipeline\IA_OFICIAL_03\02_artefactos_generados\riesgos.json (+ versiones .md)</t>
        </is>
      </c>
      <c r="G26" s="115" t="inlineStr">
        <is>
          <t>Original</t>
        </is>
      </c>
      <c r="H26" s="115" t="inlineStr">
        <is>
          <t>Evaluado</t>
        </is>
      </c>
      <c r="I26" s="116" t="n"/>
    </row>
    <row r="27" ht="30.6" customFormat="1" customHeight="1" s="16">
      <c r="A27" s="143" t="inlineStr">
        <is>
          <t>ART-run_03-DIS</t>
        </is>
      </c>
      <c r="B27" s="143" t="inlineStr">
        <is>
          <t>Pipeline</t>
        </is>
      </c>
      <c r="C27" s="143" t="inlineStr">
        <is>
          <t>run_03</t>
        </is>
      </c>
      <c r="D27" s="143" t="inlineStr">
        <is>
          <t>Diseño técnico</t>
        </is>
      </c>
      <c r="E27" s="114" t="inlineStr">
        <is>
          <t>diseno_tecnico.json + .md</t>
        </is>
      </c>
      <c r="F27" s="114" t="inlineStr">
        <is>
          <t>resultados_pipeline\IA_OFICIAL_03\02_artefactos_generados\diseno_tecnico.json + resultados_pipeline\IA_OFICIAL_03\02_artefactos_generados\diseno_tecnico.md</t>
        </is>
      </c>
      <c r="G27" s="115" t="inlineStr">
        <is>
          <t>Original</t>
        </is>
      </c>
      <c r="H27" s="115" t="inlineStr">
        <is>
          <t>Evaluado</t>
        </is>
      </c>
      <c r="I27" s="116" t="n"/>
    </row>
    <row r="28" ht="30.6" customFormat="1" customHeight="1" s="16">
      <c r="A28" s="143" t="inlineStr">
        <is>
          <t>ART-run_03-SEG-S1</t>
        </is>
      </c>
      <c r="B28" s="143" t="inlineStr">
        <is>
          <t>Pipeline</t>
        </is>
      </c>
      <c r="C28" s="143" t="inlineStr">
        <is>
          <t>run_03</t>
        </is>
      </c>
      <c r="D28" s="143" t="inlineStr">
        <is>
          <t>Seguimiento</t>
        </is>
      </c>
      <c r="E28" s="114" t="inlineStr">
        <is>
          <t>review_sprint_1.json + .md</t>
        </is>
      </c>
      <c r="F28" s="114" t="inlineStr">
        <is>
          <t>resultados_pipeline\IA_OFICIAL_03\03_sprints\review_sprint_1.json + resultados_pipeline\IA_OFICIAL_03\03_sprints\review_sprint_1.md</t>
        </is>
      </c>
      <c r="G28" s="115" t="inlineStr">
        <is>
          <t>Original</t>
        </is>
      </c>
      <c r="H28" s="115" t="inlineStr">
        <is>
          <t>Evaluado</t>
        </is>
      </c>
      <c r="I28" s="116" t="n"/>
    </row>
    <row r="29" ht="30.6" customFormat="1" customHeight="1" s="16">
      <c r="A29" s="143" t="inlineStr">
        <is>
          <t>ART-run_03-SEG-S2</t>
        </is>
      </c>
      <c r="B29" s="143" t="inlineStr">
        <is>
          <t>Pipeline</t>
        </is>
      </c>
      <c r="C29" s="143" t="inlineStr">
        <is>
          <t>run_03</t>
        </is>
      </c>
      <c r="D29" s="143" t="inlineStr">
        <is>
          <t>Seguimiento</t>
        </is>
      </c>
      <c r="E29" s="114" t="inlineStr">
        <is>
          <t>review_sprint_2.json + .md</t>
        </is>
      </c>
      <c r="F29" s="114" t="inlineStr">
        <is>
          <t>resultados_pipeline\IA_OFICIAL_03\03_sprints\review_sprint_2.json + resultados_pipeline\IA_OFICIAL_03\03_sprints\review_sprint_2.md</t>
        </is>
      </c>
      <c r="G29" s="115" t="inlineStr">
        <is>
          <t>Original</t>
        </is>
      </c>
      <c r="H29" s="115" t="inlineStr">
        <is>
          <t>Evaluado</t>
        </is>
      </c>
      <c r="I29" s="116" t="n"/>
    </row>
    <row r="30" ht="30.6" customFormat="1" customHeight="1" s="16">
      <c r="A30" s="143" t="inlineStr">
        <is>
          <t>ART-run_03-SEG-S3</t>
        </is>
      </c>
      <c r="B30" s="143" t="inlineStr">
        <is>
          <t>Pipeline</t>
        </is>
      </c>
      <c r="C30" s="143" t="inlineStr">
        <is>
          <t>run_03</t>
        </is>
      </c>
      <c r="D30" s="143" t="inlineStr">
        <is>
          <t>Seguimiento</t>
        </is>
      </c>
      <c r="E30" s="114" t="inlineStr">
        <is>
          <t>review_sprint_3.json + .md</t>
        </is>
      </c>
      <c r="F30" s="114" t="inlineStr">
        <is>
          <t>resultados_pipeline\IA_OFICIAL_03\03_sprints\review_sprint_3.json + resultados_pipeline\IA_OFICIAL_03\03_sprints\review_sprint_3.md</t>
        </is>
      </c>
      <c r="G30" s="115" t="inlineStr">
        <is>
          <t>Original</t>
        </is>
      </c>
      <c r="H30" s="115" t="inlineStr">
        <is>
          <t>Evaluado</t>
        </is>
      </c>
      <c r="I30" s="116" t="n"/>
    </row>
    <row r="31" ht="42.6" customFormat="1" customHeight="1" s="16">
      <c r="A31" s="143" t="inlineStr">
        <is>
          <t>ART-run_03-CIE</t>
        </is>
      </c>
      <c r="B31" s="143" t="inlineStr">
        <is>
          <t>Pipeline</t>
        </is>
      </c>
      <c r="C31" s="143" t="inlineStr">
        <is>
          <t>run_03</t>
        </is>
      </c>
      <c r="D31" s="143" t="inlineStr">
        <is>
          <t>Cierre</t>
        </is>
      </c>
      <c r="E31" s="114" t="inlineStr">
        <is>
          <t>lecciones_aprendidas.md + review_final.md + readme.md</t>
        </is>
      </c>
      <c r="F31" s="114" t="inlineStr">
        <is>
          <t>resultados_pipeline\IA_OFICIAL_03\04_cierre\lecciones_aprendidas.md + resultados_pipeline\IA_OFICIAL_03\00_manifest\review_final.md + resultados_pipeline\IA_OFICIAL_03\04_cierre\readme.md</t>
        </is>
      </c>
      <c r="G31" s="115" t="inlineStr">
        <is>
          <t>Original</t>
        </is>
      </c>
      <c r="H31" s="115" t="inlineStr">
        <is>
          <t>Evaluado</t>
        </is>
      </c>
      <c r="I31" s="116" t="n"/>
    </row>
    <row r="32" ht="18" customHeight="1"/>
  </sheetData>
  <mergeCells count="1">
    <mergeCell ref="A1:I1"/>
  </mergeCells>
  <dataValidations count="2">
    <dataValidation sqref="H4:H31" showDropDown="0" showInputMessage="0" showErrorMessage="0" allowBlank="1" type="list">
      <formula1>"Pendiente,En curso,Evaluado,No disponible"</formula1>
      <formula2>0</formula2>
    </dataValidation>
    <dataValidation sqref="G4:G31" showDropDown="0" showInputMessage="0" showErrorMessage="0" allowBlank="1" type="list">
      <formula1>"Original,Reconstruida,No disponible"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88"/>
  <sheetViews>
    <sheetView zoomScale="70" zoomScaleNormal="70" workbookViewId="0">
      <pane ySplit="4" topLeftCell="A60" activePane="bottomLeft" state="frozen"/>
      <selection pane="bottomLeft" activeCell="E31" sqref="E31"/>
    </sheetView>
  </sheetViews>
  <sheetFormatPr baseColWidth="10" defaultColWidth="8.6640625" defaultRowHeight="13.2"/>
  <cols>
    <col width="19.33203125" bestFit="1" customWidth="1" style="198" min="1" max="1"/>
    <col width="14.109375" bestFit="1" customWidth="1" style="198" min="2" max="2"/>
    <col width="70.21875" customWidth="1" style="199" min="3" max="3"/>
    <col width="12.109375" customWidth="1" style="198" min="4" max="4"/>
    <col width="13.77734375" bestFit="1" customWidth="1" style="199" min="5" max="5"/>
    <col width="108.21875" bestFit="1" customWidth="1" style="200" min="6" max="6"/>
    <col width="8.6640625" customWidth="1" style="200" min="7" max="11"/>
    <col width="8.6640625" customWidth="1" style="200" min="12" max="16384"/>
  </cols>
  <sheetData>
    <row r="1" ht="22.8" customHeight="1">
      <c r="A1" s="201" t="inlineStr">
        <is>
          <t>R1/M1 — Checklist por familia y artefacto (cobertura)</t>
        </is>
      </c>
    </row>
    <row r="2">
      <c r="A2" s="197" t="inlineStr">
        <is>
          <t>Marca en cada columna SI el elemento está presente. Las columnas finales calculan cobertura. Esenciales con asterisco (*): si falta alguno, M1 baja a nivel 1.</t>
        </is>
      </c>
    </row>
    <row r="4" ht="18.6" customHeight="1">
      <c r="A4" s="163" t="inlineStr">
        <is>
          <t>ID artefacto</t>
        </is>
      </c>
      <c r="B4" s="163" t="inlineStr">
        <is>
          <t>Familia</t>
        </is>
      </c>
      <c r="C4" s="163" t="inlineStr">
        <is>
          <t>Elemento esperado</t>
        </is>
      </c>
      <c r="D4" s="163" t="inlineStr">
        <is>
          <t>Esencial</t>
        </is>
      </c>
      <c r="E4" s="163" t="inlineStr">
        <is>
          <t>Presente (1/0)</t>
        </is>
      </c>
      <c r="F4" s="163" t="inlineStr">
        <is>
          <t>Evidencia (cita/ubicación)</t>
        </is>
      </c>
    </row>
    <row r="5" ht="26.4" customHeight="1">
      <c r="A5" s="57" t="inlineStr">
        <is>
          <t>ART-B-REQ</t>
        </is>
      </c>
      <c r="B5" s="57" t="inlineStr">
        <is>
          <t>Requisitos</t>
        </is>
      </c>
      <c r="C5" s="166" t="inlineStr">
        <is>
          <t>Declaración de propósito / brief de referencia *</t>
        </is>
      </c>
      <c r="D5" s="167" t="inlineStr">
        <is>
          <t>Sí</t>
        </is>
      </c>
      <c r="E5" s="164" t="n">
        <v>1</v>
      </c>
      <c r="F5" s="165" t="inlineStr">
        <is>
          <t>04_codigo\04a_casoBase\documentacion\PLANIFICACIÓN\REGISTROS\REGISTRO DE REQUISITOS.pdf + 04_codigo\04a_casoBase\documentacion\PLANIFICACIÓN\TRAZABILIDAD\MATRIZ TRAZABILIDAD DE REQUISITOS.pdf</t>
        </is>
      </c>
    </row>
    <row r="6" ht="26.4" customHeight="1">
      <c r="A6" s="57" t="inlineStr">
        <is>
          <t>ART-B-REQ</t>
        </is>
      </c>
      <c r="B6" s="57" t="inlineStr">
        <is>
          <t>Requisitos</t>
        </is>
      </c>
      <c r="C6" s="166" t="inlineStr">
        <is>
          <t>Conjunto de RF con ID, descripción y prioridad *</t>
        </is>
      </c>
      <c r="D6" s="167" t="inlineStr">
        <is>
          <t>Sí</t>
        </is>
      </c>
      <c r="E6" s="164" t="n">
        <v>1</v>
      </c>
      <c r="F6" s="165" t="inlineStr">
        <is>
          <t>04_codigo\04a_casoBase\documentacion\PLANIFICACIÓN\REGISTROS\REGISTRO DE REQUISITOS.pdf + 04_codigo\04a_casoBase\documentacion\PLANIFICACIÓN\TRAZABILIDAD\MATRIZ TRAZABILIDAD DE REQUISITOS.pdf</t>
        </is>
      </c>
    </row>
    <row r="7" ht="26.4" customHeight="1">
      <c r="A7" s="57" t="inlineStr">
        <is>
          <t>ART-B-REQ</t>
        </is>
      </c>
      <c r="B7" s="57" t="inlineStr">
        <is>
          <t>Requisitos</t>
        </is>
      </c>
      <c r="C7" s="166" t="inlineStr">
        <is>
          <t>Conjunto de RNF con misma estructura *</t>
        </is>
      </c>
      <c r="D7" s="167" t="inlineStr">
        <is>
          <t>Sí</t>
        </is>
      </c>
      <c r="E7" s="164" t="n">
        <v>1</v>
      </c>
      <c r="F7" s="165" t="inlineStr">
        <is>
          <t>04_codigo\04a_casoBase\documentacion\PLANIFICACIÓN\REGISTROS\REGISTRO DE REQUISITOS.pdf + 04_codigo\04a_casoBase\documentacion\PLANIFICACIÓN\TRAZABILIDAD\MATRIZ TRAZABILIDAD DE REQUISITOS.pdf</t>
        </is>
      </c>
    </row>
    <row r="8" ht="26.4" customHeight="1">
      <c r="A8" s="57" t="inlineStr">
        <is>
          <t>ART-B-REQ</t>
        </is>
      </c>
      <c r="B8" s="57" t="inlineStr">
        <is>
          <t>Requisitos</t>
        </is>
      </c>
      <c r="C8" s="166" t="inlineStr">
        <is>
          <t>Cobertura mínima de funciones críticas del brief (auth/cat/reserva/admin) *</t>
        </is>
      </c>
      <c r="D8" s="167" t="inlineStr">
        <is>
          <t>Sí</t>
        </is>
      </c>
      <c r="E8" s="164" t="n">
        <v>1</v>
      </c>
      <c r="F8" s="165" t="inlineStr">
        <is>
          <t>04_codigo\04a_casoBase\documentacion\PLANIFICACIÓN\REGISTROS\REGISTRO DE REQUISITOS.pdf + 04_codigo\04a_casoBase\documentacion\PLANIFICACIÓN\TRAZABILIDAD\MATRIZ TRAZABILIDAD DE REQUISITOS.pdf</t>
        </is>
      </c>
    </row>
    <row r="9" ht="66" customHeight="1">
      <c r="A9" s="57" t="inlineStr">
        <is>
          <t>ART-B-REQ</t>
        </is>
      </c>
      <c r="B9" s="57" t="inlineStr">
        <is>
          <t>Requisitos</t>
        </is>
      </c>
      <c r="C9" s="166" t="inlineStr">
        <is>
          <t>Declaración explícita de exclusiones</t>
        </is>
      </c>
      <c r="D9" s="168" t="inlineStr">
        <is>
          <t>No</t>
        </is>
      </c>
      <c r="E9" s="164" t="n">
        <v>1</v>
      </c>
      <c r="F9" s="165" t="inlineStr">
        <is>
          <t>04_codigo\04a_casoBase\documentacion\PLANIFICACIÓN\REGISTROS\REGISTRO DE REQUISITOS.pdf + 04_codigo\04a_casoBase\documentacion\PLANIFICACIÓN\TRAZABILIDAD\MATRIZ TRAZABILIDAD DE REQUISITOS.pdf + 04_codigo\04a_casoBase\documentacion\INICIO\ACTA DE CONSTITUCIÓN.pdf + 04_codigo\04a_casoBase\documentacion\INICIO\REGISTRO DE SUPUESTOS.pdf + 04_codigo\04a_casoBase\documentacion\PLANIFICACIÓN\LINEAS BASE\ENUNCIADO DEL ALCANCE.pdf</t>
        </is>
      </c>
    </row>
    <row r="10" ht="66" customHeight="1">
      <c r="A10" s="57" t="inlineStr">
        <is>
          <t>ART-B-REQ</t>
        </is>
      </c>
      <c r="B10" s="57" t="inlineStr">
        <is>
          <t>Requisitos</t>
        </is>
      </c>
      <c r="C10" s="166" t="inlineStr">
        <is>
          <t>Registro de supuestos y restricciones</t>
        </is>
      </c>
      <c r="D10" s="168" t="inlineStr">
        <is>
          <t>No</t>
        </is>
      </c>
      <c r="E10" s="164" t="n">
        <v>1</v>
      </c>
      <c r="F10" s="165" t="inlineStr">
        <is>
          <t>04_codigo\04a_casoBase\documentacion\PLANIFICACIÓN\REGISTROS\REGISTRO DE REQUISITOS.pdf + 04_codigo\04a_casoBase\documentacion\PLANIFICACIÓN\TRAZABILIDAD\MATRIZ TRAZABILIDAD DE REQUISITOS.pdf + 04_codigo\04a_casoBase\documentacion\INICIO\ACTA DE CONSTITUCIÓN.pdf + 04_codigo\04a_casoBase\documentacion\INICIO\REGISTRO DE SUPUESTOS.pdf + 04_codigo\04a_casoBase\documentacion\PLANIFICACIÓN\LINEAS BASE\ENUNCIADO DEL ALCANCE.pdf</t>
        </is>
      </c>
    </row>
    <row r="11" ht="26.4" customHeight="1">
      <c r="A11" s="57" t="inlineStr">
        <is>
          <t>ART-B-REQ</t>
        </is>
      </c>
      <c r="B11" s="57" t="inlineStr">
        <is>
          <t>Requisitos</t>
        </is>
      </c>
      <c r="C11" s="166" t="inlineStr">
        <is>
          <t>Criterios genéricos de aceptación a nivel de proyecto</t>
        </is>
      </c>
      <c r="D11" s="168" t="inlineStr">
        <is>
          <t>No</t>
        </is>
      </c>
      <c r="E11" s="164" t="n">
        <v>1</v>
      </c>
      <c r="F11" s="165" t="inlineStr">
        <is>
          <t>04_codigo\04a_casoBase\documentacion\PLANIFICACIÓN\REGISTROS\REGISTRO DE REQUISITOS.pdf + 04_codigo\04a_casoBase\documentacion\PLANIFICACIÓN\TRAZABILIDAD\MATRIZ TRAZABILIDAD DE REQUISITOS.pdf</t>
        </is>
      </c>
    </row>
    <row r="12" ht="79.2" customHeight="1">
      <c r="A12" s="57" t="inlineStr">
        <is>
          <t>ART-B-PLAN</t>
        </is>
      </c>
      <c r="B12" s="57" t="inlineStr">
        <is>
          <t>Planificación</t>
        </is>
      </c>
      <c r="C12" s="166" t="inlineStr">
        <is>
          <t>Descomposición del alcance en HU con ID/descripción/prioridad *</t>
        </is>
      </c>
      <c r="D12" s="167" t="inlineStr">
        <is>
          <t>Sí</t>
        </is>
      </c>
      <c r="E12" s="164" t="n">
        <v>0</v>
      </c>
      <c r="F12" s="165" t="inlineStr">
        <is>
          <t>04_codigo\04a_casoBase\documentacion\EJECUCIÓN\Sprint 1\Sprint 1 - Planning.pdf + 04_codigo\04a_casoBase\documentacion\EJECUCIÓN\Sprint 2\Sprint 2 - Planning.pdf + 04_codigo\04a_casoBase\documentacion\EJECUCIÓN\Sprint 3\Sprint 3 - Planning.pdf + 04_codigo\04a_casoBase\documentacion\EJECUCIÓN\Sprint 1\Sprint 1 - Product Backlog.pdf + 04_codigo\04a_casoBase\documentacion\EJECUCIÓN\Sprint 2\Sprint 2 - Product Backlog.pdf + 04_codigo\04a_casoBase\documentacion\EJECUCIÓN\Sprint 3\Sprint 3 - Product Backlog.pdf</t>
        </is>
      </c>
    </row>
    <row r="13" ht="79.2" customHeight="1">
      <c r="A13" s="57" t="inlineStr">
        <is>
          <t>ART-B-PLAN</t>
        </is>
      </c>
      <c r="B13" s="57" t="inlineStr">
        <is>
          <t>Planificación</t>
        </is>
      </c>
      <c r="C13" s="166" t="inlineStr">
        <is>
          <t>Asignación de HU a sprints con objetivo declarado *</t>
        </is>
      </c>
      <c r="D13" s="167" t="inlineStr">
        <is>
          <t>Sí</t>
        </is>
      </c>
      <c r="E13" s="164" t="n">
        <v>0</v>
      </c>
      <c r="F13" s="165" t="inlineStr">
        <is>
          <t>04_codigo\04a_casoBase\documentacion\EJECUCIÓN\Sprint 1\Sprint 1 - Planning.pdf + 04_codigo\04a_casoBase\documentacion\EJECUCIÓN\Sprint 2\Sprint 2 - Planning.pdf + 04_codigo\04a_casoBase\documentacion\EJECUCIÓN\Sprint 3\Sprint 3 - Planning.pdf + 04_codigo\04a_casoBase\documentacion\EJECUCIÓN\Sprint 1\Sprint 1 - Product Backlog.pdf + 04_codigo\04a_casoBase\documentacion\EJECUCIÓN\Sprint 2\Sprint 2 - Product Backlog.pdf + 04_codigo\04a_casoBase\documentacion\EJECUCIÓN\Sprint 3\Sprint 3 - Product Backlog.pdf</t>
        </is>
      </c>
    </row>
    <row r="14" ht="79.2" customHeight="1">
      <c r="A14" s="57" t="inlineStr">
        <is>
          <t>ART-B-PLAN</t>
        </is>
      </c>
      <c r="B14" s="57" t="inlineStr">
        <is>
          <t>Planificación</t>
        </is>
      </c>
      <c r="C14" s="166" t="inlineStr">
        <is>
          <t>Entregable verificable por sprint *</t>
        </is>
      </c>
      <c r="D14" s="167" t="inlineStr">
        <is>
          <t>Sí</t>
        </is>
      </c>
      <c r="E14" s="164" t="n">
        <v>1</v>
      </c>
      <c r="F14" s="165" t="inlineStr">
        <is>
          <t>04_codigo\04a_casoBase\documentacion\EJECUCIÓN\Sprint 1\Sprint 1 - Planning.pdf + 04_codigo\04a_casoBase\documentacion\EJECUCIÓN\Sprint 2\Sprint 2 - Planning.pdf + 04_codigo\04a_casoBase\documentacion\EJECUCIÓN\Sprint 3\Sprint 3 - Planning.pdf + 04_codigo\04a_casoBase\documentacion\EJECUCIÓN\Sprint 1\Sprint 1 - Product Backlog.pdf + 04_codigo\04a_casoBase\documentacion\EJECUCIÓN\Sprint 2\Sprint 2 - Product Backlog.pdf + 04_codigo\04a_casoBase\documentacion\EJECUCIÓN\Sprint 3\Sprint 3 - Product Backlog.pdf</t>
        </is>
      </c>
    </row>
    <row r="15" ht="79.2" customHeight="1">
      <c r="A15" s="57" t="inlineStr">
        <is>
          <t>ART-B-PLAN</t>
        </is>
      </c>
      <c r="B15" s="57" t="inlineStr">
        <is>
          <t>Planificación</t>
        </is>
      </c>
      <c r="C15" s="166" t="inlineStr">
        <is>
          <t>Estimación de esfuerzo por HU *</t>
        </is>
      </c>
      <c r="D15" s="167" t="inlineStr">
        <is>
          <t>Sí</t>
        </is>
      </c>
      <c r="E15" s="164" t="n">
        <v>0</v>
      </c>
      <c r="F15" s="165" t="inlineStr">
        <is>
          <t>04_codigo\04a_casoBase\documentacion\EJECUCIÓN\Sprint 1\Sprint 1 - Planning.pdf + 04_codigo\04a_casoBase\documentacion\EJECUCIÓN\Sprint 2\Sprint 2 - Planning.pdf + 04_codigo\04a_casoBase\documentacion\EJECUCIÓN\Sprint 3\Sprint 3 - Planning.pdf + 04_codigo\04a_casoBase\documentacion\EJECUCIÓN\Sprint 1\Sprint 1 - Product Backlog.pdf + 04_codigo\04a_casoBase\documentacion\EJECUCIÓN\Sprint 2\Sprint 2 - Product Backlog.pdf + 04_codigo\04a_casoBase\documentacion\EJECUCIÓN\Sprint 3\Sprint 3 - Product Backlog.pdf</t>
        </is>
      </c>
    </row>
    <row r="16" ht="92.40000000000001" customHeight="1">
      <c r="A16" s="57" t="inlineStr">
        <is>
          <t>ART-B-PLAN</t>
        </is>
      </c>
      <c r="B16" s="57" t="inlineStr">
        <is>
          <t>Planificación</t>
        </is>
      </c>
      <c r="C16" s="166" t="inlineStr">
        <is>
          <t>Registro de riesgos con probabilidad/impacto/mitigación *</t>
        </is>
      </c>
      <c r="D16" s="167" t="inlineStr">
        <is>
          <t>Sí</t>
        </is>
      </c>
      <c r="E16" s="164" t="n">
        <v>1</v>
      </c>
      <c r="F16" s="165" t="inlineStr">
        <is>
          <t>04_codigo\04a_casoBase\documentacion\EJECUCIÓN\Sprint 1\Sprint 1 - Planning.pdf + 04_codigo\04a_casoBase\documentacion\EJECUCIÓN\Sprint 2\Sprint 2 - Planning.pdf + 04_codigo\04a_casoBase\documentacion\EJECUCIÓN\Sprint 3\Sprint 3 - Planning.pdf + 04_codigo\04a_casoBase\documentacion\EJECUCIÓN\Sprint 1\Sprint 1 - Product Backlog.pdf + 04_codigo\04a_casoBase\documentacion\EJECUCIÓN\Sprint 2\Sprint 2 - Product Backlog.pdf + 04_codigo\04a_casoBase\documentacion\EJECUCIÓN\Sprint 3\Sprint 3 - Product Backlog.pdf + 04_codigo\04a_casoBase\documentacion\PLANIFICACIÓN\REGISTROS\REGISTRO DE RIESGOS.pdf</t>
        </is>
      </c>
    </row>
    <row r="17" ht="79.2" customHeight="1">
      <c r="A17" s="57" t="inlineStr">
        <is>
          <t>ART-B-PLAN</t>
        </is>
      </c>
      <c r="B17" s="57" t="inlineStr">
        <is>
          <t>Planificación</t>
        </is>
      </c>
      <c r="C17" s="166" t="inlineStr">
        <is>
          <t>Criterios de aceptación por HU</t>
        </is>
      </c>
      <c r="D17" s="167" t="inlineStr">
        <is>
          <t>No</t>
        </is>
      </c>
      <c r="E17" s="164" t="n">
        <v>0</v>
      </c>
      <c r="F17" s="165" t="inlineStr">
        <is>
          <t>04_codigo\04a_casoBase\documentacion\EJECUCIÓN\Sprint 1\Sprint 1 - Planning.pdf + 04_codigo\04a_casoBase\documentacion\EJECUCIÓN\Sprint 2\Sprint 2 - Planning.pdf + 04_codigo\04a_casoBase\documentacion\EJECUCIÓN\Sprint 3\Sprint 3 - Planning.pdf + 04_codigo\04a_casoBase\documentacion\EJECUCIÓN\Sprint 1\Sprint 1 - Product Backlog.pdf + 04_codigo\04a_casoBase\documentacion\EJECUCIÓN\Sprint 2\Sprint 2 - Product Backlog.pdf + 04_codigo\04a_casoBase\documentacion\EJECUCIÓN\Sprint 3\Sprint 3 - Product Backlog.pdf</t>
        </is>
      </c>
    </row>
    <row r="18" ht="79.2" customHeight="1">
      <c r="A18" s="57" t="inlineStr">
        <is>
          <t>ART-B-PLAN</t>
        </is>
      </c>
      <c r="B18" s="57" t="inlineStr">
        <is>
          <t>Planificación</t>
        </is>
      </c>
      <c r="C18" s="166" t="inlineStr">
        <is>
          <t>Dependencias entre HU</t>
        </is>
      </c>
      <c r="D18" s="167" t="inlineStr">
        <is>
          <t>No</t>
        </is>
      </c>
      <c r="E18" s="164" t="n">
        <v>0</v>
      </c>
      <c r="F18" s="165" t="inlineStr">
        <is>
          <t>04_codigo\04a_casoBase\documentacion\EJECUCIÓN\Sprint 1\Sprint 1 - Planning.pdf + 04_codigo\04a_casoBase\documentacion\EJECUCIÓN\Sprint 2\Sprint 2 - Planning.pdf + 04_codigo\04a_casoBase\documentacion\EJECUCIÓN\Sprint 3\Sprint 3 - Planning.pdf + 04_codigo\04a_casoBase\documentacion\EJECUCIÓN\Sprint 1\Sprint 1 - Product Backlog.pdf + 04_codigo\04a_casoBase\documentacion\EJECUCIÓN\Sprint 2\Sprint 2 - Product Backlog.pdf + 04_codigo\04a_casoBase\documentacion\EJECUCIÓN\Sprint 3\Sprint 3 - Product Backlog.pdf</t>
        </is>
      </c>
    </row>
    <row r="19" ht="145.2" customHeight="1">
      <c r="A19" s="57" t="inlineStr">
        <is>
          <t>ART-B-PLAN</t>
        </is>
      </c>
      <c r="B19" s="57" t="inlineStr">
        <is>
          <t>Planificación</t>
        </is>
      </c>
      <c r="C19" s="166" t="inlineStr">
        <is>
          <t>Supuestos de capacidad del equipo</t>
        </is>
      </c>
      <c r="D19" s="167" t="inlineStr">
        <is>
          <t>No</t>
        </is>
      </c>
      <c r="E19" s="164" t="n">
        <v>1</v>
      </c>
      <c r="F19" s="165" t="inlineStr">
        <is>
          <t>04_codigo\04a_casoBase\documentacion\EJECUCIÓN\Sprint 1\Sprint 1 - Planning.pdf + 04_codigo\04a_casoBase\documentacion\EJECUCIÓN\Sprint 2\Sprint 2 - Planning.pdf + 04_codigo\04a_casoBase\documentacion\EJECUCIÓN\Sprint 3\Sprint 3 - Planning.pdf + 04_codigo\04a_casoBase\documentacion\EJECUCIÓN\Sprint 1\Sprint 1 - Product Backlog.pdf + 04_codigo\04a_casoBase\documentacion\EJECUCIÓN\Sprint 2\Sprint 2 - Product Backlog.pdf + 04_codigo\04a_casoBase\documentacion\EJECUCIÓN\Sprint 3\Sprint 3 - Product Backlog.pdf + 04_codigo\04a_casoBase\documentacion\PLANIFICACIÓN\REGISTROS\REGISTRO DE RIESGOS.pdf + 04_codigo\04a_casoBase\documentacion\PLANIFICACIÓN\LINEAS BASE\CRONOGRAMA Y PRESUPUESTO.pdf + 04_codigo\04a_casoBase\documentacion\PLANIFICACIÓN\LINEAS BASE\DICCIONARIO DE LA EDT.pdf + 04_codigo\04a_casoBase\documentacion\PLANIFICACIÓN\LINEAS BASE\ATRIBUTOS DE ACTIVIDAD.pdf + 04_codigo\04a_casoBase\documentacion\PLANIFICACIÓN\PLANES\PLAN DE GESTION DEL CRONOGRAMA.pdf</t>
        </is>
      </c>
    </row>
    <row r="20" ht="105.6" customHeight="1">
      <c r="A20" s="57" t="inlineStr">
        <is>
          <t>ART-B-DIS</t>
        </is>
      </c>
      <c r="B20" s="57" t="inlineStr">
        <is>
          <t>Diseño técnico</t>
        </is>
      </c>
      <c r="C20" s="166" t="inlineStr">
        <is>
          <t>Declaración del stack tecnológico *</t>
        </is>
      </c>
      <c r="D20" s="167" t="inlineStr">
        <is>
          <t>Sí</t>
        </is>
      </c>
      <c r="E20" s="164" t="n">
        <v>1</v>
      </c>
      <c r="F20" s="165" t="inlineStr">
        <is>
          <t>04_codigo\04a_casoBase\documentacion\DISEÑO TECNICO (RECONSTRUIDO)\02_ARQUITECTURA.md + 04_codigo\04a_casoBase\documentacion\DISEÑO TECNICO (RECONSTRUIDO)\03_MODELO_DE_DATOS.md + 04_codigo\04a_casoBase\documentacion\DISEÑO TECNICO (RECONSTRUIDO)\01_STACK_TECNOLOGICO.md + 04_codigo\04a_casoBase\documentacion\DISEÑO TECNICO (RECONSTRUIDO)\05_URLS_Y_VISTAS.md + 04_codigo\04a_casoBase\documentacion\DISEÑO TECNICO (RECONSTRUIDO)\07_CONFIGURACION.md + 04_codigo\04a_casoBase\documentacion\DISEÑO TECNICO (RECONSTRUIDO)\10_SEGURIDAD.md + 04_codigo\04a_casoBase\documentacion\DISEÑO TECNICO (RECONSTRUIDO)\11_ARRANQUE_Y_CREDENCIALES.md + 04_codigo\04a_casoBase\documentacion\DISEÑO TECNICO (RECONSTRUIDO)\12_BASE_DE_DATOS_REAL.md</t>
        </is>
      </c>
    </row>
    <row r="21" ht="26.4" customHeight="1">
      <c r="A21" s="57" t="inlineStr">
        <is>
          <t>ART-B-DIS</t>
        </is>
      </c>
      <c r="B21" s="57" t="inlineStr">
        <is>
          <t>Diseño técnico</t>
        </is>
      </c>
      <c r="C21" s="166" t="inlineStr">
        <is>
          <t>Inventario de módulos/apps con propósito *</t>
        </is>
      </c>
      <c r="D21" s="167" t="inlineStr">
        <is>
          <t>Sí</t>
        </is>
      </c>
      <c r="E21" s="164" t="n">
        <v>0</v>
      </c>
      <c r="F21" s="165" t="inlineStr">
        <is>
          <t>04_codigo\04a_casoBase\documentacion\DISEÑO TECNICO (RECONSTRUIDO)\02_ARQUITECTURA.md + 04_codigo\04a_casoBase\documentacion\DISEÑO TECNICO (RECONSTRUIDO)\03_MODELO_DE_DATOS.md</t>
        </is>
      </c>
    </row>
    <row r="22" ht="26.4" customHeight="1">
      <c r="A22" s="57" t="inlineStr">
        <is>
          <t>ART-B-DIS</t>
        </is>
      </c>
      <c r="B22" s="57" t="inlineStr">
        <is>
          <t>Diseño técnico</t>
        </is>
      </c>
      <c r="C22" s="166" t="inlineStr">
        <is>
          <t>Modelo de datos básico (entidades + relaciones) *</t>
        </is>
      </c>
      <c r="D22" s="167" t="inlineStr">
        <is>
          <t>Sí</t>
        </is>
      </c>
      <c r="E22" s="164" t="n">
        <v>0</v>
      </c>
      <c r="F22" s="165" t="inlineStr">
        <is>
          <t>04_codigo\04a_casoBase\documentacion\DISEÑO TECNICO (RECONSTRUIDO)\02_ARQUITECTURA.md + 04_codigo\04a_casoBase\documentacion\DISEÑO TECNICO (RECONSTRUIDO)\03_MODELO_DE_DATOS.md</t>
        </is>
      </c>
    </row>
    <row r="23" ht="105.6" customHeight="1">
      <c r="A23" s="57" t="inlineStr">
        <is>
          <t>ART-B-DIS</t>
        </is>
      </c>
      <c r="B23" s="57" t="inlineStr">
        <is>
          <t>Diseño técnico</t>
        </is>
      </c>
      <c r="C23" s="166" t="inlineStr">
        <is>
          <t>Identificación de archivos principales por módulo *</t>
        </is>
      </c>
      <c r="D23" s="167" t="inlineStr">
        <is>
          <t>Sí</t>
        </is>
      </c>
      <c r="E23" s="164" t="n">
        <v>0</v>
      </c>
      <c r="F23" s="165" t="inlineStr">
        <is>
          <t>04_codigo\04a_casoBase\documentacion\DISEÑO TECNICO (RECONSTRUIDO)\02_ARQUITECTURA.md + 04_codigo\04a_casoBase\documentacion\DISEÑO TECNICO (RECONSTRUIDO)\03_MODELO_DE_DATOS.md + 04_codigo\04a_casoBase\documentacion\DISEÑO TECNICO (RECONSTRUIDO)\01_STACK_TECNOLOGICO.md + 04_codigo\04a_casoBase\documentacion\DISEÑO TECNICO (RECONSTRUIDO)\05_URLS_Y_VISTAS.md + 04_codigo\04a_casoBase\documentacion\DISEÑO TECNICO (RECONSTRUIDO)\07_CONFIGURACION.md + 04_codigo\04a_casoBase\documentacion\DISEÑO TECNICO (RECONSTRUIDO)\10_SEGURIDAD.md + 04_codigo\04a_casoBase\documentacion\DISEÑO TECNICO (RECONSTRUIDO)\11_ARRANQUE_Y_CREDENCIALES.md + 04_codigo\04a_casoBase\documentacion\DISEÑO TECNICO (RECONSTRUIDO)\12_BASE_DE_DATOS_REAL.md</t>
        </is>
      </c>
    </row>
    <row r="24" ht="26.4" customHeight="1">
      <c r="A24" s="57" t="inlineStr">
        <is>
          <t>ART-B-DIS</t>
        </is>
      </c>
      <c r="B24" s="57" t="inlineStr">
        <is>
          <t>Diseño técnico</t>
        </is>
      </c>
      <c r="C24" s="166" t="inlineStr">
        <is>
          <t>Decisiones de configuración relevantes</t>
        </is>
      </c>
      <c r="D24" s="167" t="inlineStr">
        <is>
          <t>No</t>
        </is>
      </c>
      <c r="E24" s="164" t="n">
        <v>1</v>
      </c>
      <c r="F24" s="165" t="inlineStr">
        <is>
          <t>04_codigo\04a_casoBase\documentacion\DISEÑO TECNICO (RECONSTRUIDO)\02_ARQUITECTURA.md + 04_codigo\04a_casoBase\documentacion\DISEÑO TECNICO (RECONSTRUIDO)\03_MODELO_DE_DATOS.md</t>
        </is>
      </c>
    </row>
    <row r="25" ht="105.6" customHeight="1">
      <c r="A25" s="57" t="inlineStr">
        <is>
          <t>ART-B-DIS</t>
        </is>
      </c>
      <c r="B25" s="57" t="inlineStr">
        <is>
          <t>Diseño técnico</t>
        </is>
      </c>
      <c r="C25" s="166" t="inlineStr">
        <is>
          <t>Declaración de dependencias entre módulos</t>
        </is>
      </c>
      <c r="D25" s="167" t="inlineStr">
        <is>
          <t>No</t>
        </is>
      </c>
      <c r="E25" s="164" t="n">
        <v>0</v>
      </c>
      <c r="F25" s="165" t="inlineStr">
        <is>
          <t>04_codigo\04a_casoBase\documentacion\DISEÑO TECNICO (RECONSTRUIDO)\02_ARQUITECTURA.md + 04_codigo\04a_casoBase\documentacion\DISEÑO TECNICO (RECONSTRUIDO)\03_MODELO_DE_DATOS.md + 04_codigo\04a_casoBase\documentacion\DISEÑO TECNICO (RECONSTRUIDO)\01_STACK_TECNOLOGICO.md + 04_codigo\04a_casoBase\documentacion\DISEÑO TECNICO (RECONSTRUIDO)\05_URLS_Y_VISTAS.md + 04_codigo\04a_casoBase\documentacion\DISEÑO TECNICO (RECONSTRUIDO)\07_CONFIGURACION.md + 04_codigo\04a_casoBase\documentacion\DISEÑO TECNICO (RECONSTRUIDO)\10_SEGURIDAD.md + 04_codigo\04a_casoBase\documentacion\DISEÑO TECNICO (RECONSTRUIDO)\11_ARRANQUE_Y_CREDENCIALES.md + 04_codigo\04a_casoBase\documentacion\DISEÑO TECNICO (RECONSTRUIDO)\12_BASE_DE_DATOS_REAL.md</t>
        </is>
      </c>
    </row>
    <row r="26" ht="105.6" customHeight="1">
      <c r="A26" s="57" t="inlineStr">
        <is>
          <t>ART-B-DIS</t>
        </is>
      </c>
      <c r="B26" s="57" t="inlineStr">
        <is>
          <t>Diseño técnico</t>
        </is>
      </c>
      <c r="C26" s="166" t="inlineStr">
        <is>
          <t>Supuestos sobre entorno de despliegue</t>
        </is>
      </c>
      <c r="D26" s="167" t="inlineStr">
        <is>
          <t>No</t>
        </is>
      </c>
      <c r="E26" s="164" t="n">
        <v>1</v>
      </c>
      <c r="F26" s="165" t="inlineStr">
        <is>
          <t>04_codigo\04a_casoBase\documentacion\DISEÑO TECNICO (RECONSTRUIDO)\02_ARQUITECTURA.md + 04_codigo\04a_casoBase\documentacion\DISEÑO TECNICO (RECONSTRUIDO)\03_MODELO_DE_DATOS.md + 04_codigo\04a_casoBase\documentacion\DISEÑO TECNICO (RECONSTRUIDO)\01_STACK_TECNOLOGICO.md + 04_codigo\04a_casoBase\documentacion\DISEÑO TECNICO (RECONSTRUIDO)\05_URLS_Y_VISTAS.md + 04_codigo\04a_casoBase\documentacion\DISEÑO TECNICO (RECONSTRUIDO)\07_CONFIGURACION.md + 04_codigo\04a_casoBase\documentacion\DISEÑO TECNICO (RECONSTRUIDO)\10_SEGURIDAD.md + 04_codigo\04a_casoBase\documentacion\DISEÑO TECNICO (RECONSTRUIDO)\11_ARRANQUE_Y_CREDENCIALES.md + 04_codigo\04a_casoBase\documentacion\DISEÑO TECNICO (RECONSTRUIDO)\12_BASE_DE_DATOS_REAL.md</t>
        </is>
      </c>
    </row>
    <row r="27" ht="105.6" customHeight="1">
      <c r="A27" s="57" t="inlineStr">
        <is>
          <t>ART-B-SEG-S1</t>
        </is>
      </c>
      <c r="B27" s="57" t="inlineStr">
        <is>
          <t>Seguimiento</t>
        </is>
      </c>
      <c r="C27" s="166" t="inlineStr">
        <is>
          <t>Identificación del sprint y HU planificadas *</t>
        </is>
      </c>
      <c r="D27" s="167" t="inlineStr">
        <is>
          <t>Sí</t>
        </is>
      </c>
      <c r="E27" s="164" t="n">
        <v>0</v>
      </c>
      <c r="F27" s="165" t="inlineStr">
        <is>
          <t>04_codigo\04a_casoBase\documentacion\EJECUCIÓN\Sprint 1\Sprint 1 - Review.pdf + 04_codigo\04a_casoBase\documentacion\EJECUCIÓN\Sprint 1\Sprint 1 - Retrospetive.pdf + 04_codigo\04a_casoBase\documentacion\EJECUCIÓN\REGISTRO DE INCIDENCIAS.pdf + 04_codigo\04a_casoBase\documentacion\EJECUCIÓN\REGISTRO DE CAMBIOS.pdf + 04_codigo\04a_casoBase\documentacion\EJECUCIÓN\REGISTRO DE DECISIONES.pdf + 04_codigo\04a_casoBase\documentacion\SEGUIMIENTO\Daily Scrum Sprint 1.pdf + 04_codigo\04a_casoBase\documentacion\SEGUIMIENTO\Daily Scrum Sprint 2.pdf + 04_codigo\04a_casoBase\documentacion\SEGUIMIENTO\Daily Scrum Sprint 3.pdf</t>
        </is>
      </c>
    </row>
    <row r="28" ht="105.6" customHeight="1">
      <c r="A28" s="57" t="inlineStr">
        <is>
          <t>ART-B-SEG-S1</t>
        </is>
      </c>
      <c r="B28" s="57" t="inlineStr">
        <is>
          <t>Seguimiento</t>
        </is>
      </c>
      <c r="C28" s="166" t="inlineStr">
        <is>
          <t>Valoración del cumplimiento por HU (completada/parcial/no) *</t>
        </is>
      </c>
      <c r="D28" s="167" t="inlineStr">
        <is>
          <t>Sí</t>
        </is>
      </c>
      <c r="E28" s="164" t="n">
        <v>0</v>
      </c>
      <c r="F28" s="165" t="inlineStr">
        <is>
          <t>04_codigo\04a_casoBase\documentacion\EJECUCIÓN\Sprint 1\Sprint 1 - Review.pdf + 04_codigo\04a_casoBase\documentacion\EJECUCIÓN\Sprint 1\Sprint 1 - Retrospetive.pdf + 04_codigo\04a_casoBase\documentacion\EJECUCIÓN\REGISTRO DE INCIDENCIAS.pdf + 04_codigo\04a_casoBase\documentacion\EJECUCIÓN\REGISTRO DE CAMBIOS.pdf + 04_codigo\04a_casoBase\documentacion\EJECUCIÓN\REGISTRO DE DECISIONES.pdf + 04_codigo\04a_casoBase\documentacion\SEGUIMIENTO\Daily Scrum Sprint 1.pdf + 04_codigo\04a_casoBase\documentacion\SEGUIMIENTO\Daily Scrum Sprint 2.pdf + 04_codigo\04a_casoBase\documentacion\SEGUIMIENTO\Daily Scrum Sprint 3.pdf</t>
        </is>
      </c>
    </row>
    <row r="29" ht="105.6" customHeight="1">
      <c r="A29" s="57" t="inlineStr">
        <is>
          <t>ART-B-SEG-S1</t>
        </is>
      </c>
      <c r="B29" s="57" t="inlineStr">
        <is>
          <t>Seguimiento</t>
        </is>
      </c>
      <c r="C29" s="166" t="inlineStr">
        <is>
          <t>Listado de entregables efectivamente producidos *</t>
        </is>
      </c>
      <c r="D29" s="167" t="inlineStr">
        <is>
          <t>Sí</t>
        </is>
      </c>
      <c r="E29" s="164" t="n">
        <v>1</v>
      </c>
      <c r="F29" s="165" t="inlineStr">
        <is>
          <t>04_codigo\04a_casoBase\documentacion\EJECUCIÓN\Sprint 1\Sprint 1 - Review.pdf + 04_codigo\04a_casoBase\documentacion\EJECUCIÓN\Sprint 1\Sprint 1 - Retrospetive.pdf + 04_codigo\04a_casoBase\documentacion\EJECUCIÓN\REGISTRO DE INCIDENCIAS.pdf + 04_codigo\04a_casoBase\documentacion\EJECUCIÓN\REGISTRO DE CAMBIOS.pdf + 04_codigo\04a_casoBase\documentacion\EJECUCIÓN\REGISTRO DE DECISIONES.pdf + 04_codigo\04a_casoBase\documentacion\SEGUIMIENTO\Daily Scrum Sprint 1.pdf + 04_codigo\04a_casoBase\documentacion\SEGUIMIENTO\Daily Scrum Sprint 2.pdf + 04_codigo\04a_casoBase\documentacion\SEGUIMIENTO\Daily Scrum Sprint 3.pdf</t>
        </is>
      </c>
    </row>
    <row r="30" ht="105.6" customHeight="1">
      <c r="A30" s="57" t="inlineStr">
        <is>
          <t>ART-B-SEG-S1</t>
        </is>
      </c>
      <c r="B30" s="57" t="inlineStr">
        <is>
          <t>Seguimiento</t>
        </is>
      </c>
      <c r="C30" s="166" t="inlineStr">
        <is>
          <t>Registro de incidencias detectadas *</t>
        </is>
      </c>
      <c r="D30" s="167" t="inlineStr">
        <is>
          <t>Sí</t>
        </is>
      </c>
      <c r="E30" s="164" t="n">
        <v>1</v>
      </c>
      <c r="F30" s="165" t="inlineStr">
        <is>
          <t>04_codigo\04a_casoBase\documentacion\EJECUCIÓN\Sprint 1\Sprint 1 - Review.pdf + 04_codigo\04a_casoBase\documentacion\EJECUCIÓN\Sprint 1\Sprint 1 - Retrospetive.pdf + 04_codigo\04a_casoBase\documentacion\EJECUCIÓN\REGISTRO DE INCIDENCIAS.pdf + 04_codigo\04a_casoBase\documentacion\EJECUCIÓN\REGISTRO DE CAMBIOS.pdf + 04_codigo\04a_casoBase\documentacion\EJECUCIÓN\REGISTRO DE DECISIONES.pdf + 04_codigo\04a_casoBase\documentacion\SEGUIMIENTO\Daily Scrum Sprint 1.pdf + 04_codigo\04a_casoBase\documentacion\SEGUIMIENTO\Daily Scrum Sprint 2.pdf + 04_codigo\04a_casoBase\documentacion\SEGUIMIENTO\Daily Scrum Sprint 3.pdf</t>
        </is>
      </c>
    </row>
    <row r="31" ht="105.6" customHeight="1">
      <c r="A31" s="57" t="inlineStr">
        <is>
          <t>ART-B-SEG-S1</t>
        </is>
      </c>
      <c r="B31" s="57" t="inlineStr">
        <is>
          <t>Seguimiento</t>
        </is>
      </c>
      <c r="C31" s="166" t="inlineStr">
        <is>
          <t>Observaciones sobre funcionamiento del proceso</t>
        </is>
      </c>
      <c r="D31" s="167" t="inlineStr">
        <is>
          <t>No</t>
        </is>
      </c>
      <c r="E31" s="178" t="n">
        <v>0</v>
      </c>
      <c r="F31" s="165" t="inlineStr">
        <is>
          <t>04_codigo\04a_casoBase\documentacion\EJECUCIÓN\Sprint 1\Sprint 1 - Review.pdf + 04_codigo\04a_casoBase\documentacion\EJECUCIÓN\Sprint 1\Sprint 1 - Retrospetive.pdf + 04_codigo\04a_casoBase\documentacion\EJECUCIÓN\REGISTRO DE INCIDENCIAS.pdf + 04_codigo\04a_casoBase\documentacion\EJECUCIÓN\REGISTRO DE CAMBIOS.pdf + 04_codigo\04a_casoBase\documentacion\EJECUCIÓN\REGISTRO DE DECISIONES.pdf + 04_codigo\04a_casoBase\documentacion\SEGUIMIENTO\Daily Scrum Sprint 1.pdf + 04_codigo\04a_casoBase\documentacion\SEGUIMIENTO\Daily Scrum Sprint 2.pdf + 04_codigo\04a_casoBase\documentacion\SEGUIMIENTO\Daily Scrum Sprint 3.pdf</t>
        </is>
      </c>
    </row>
    <row r="32" ht="105.6" customHeight="1">
      <c r="A32" s="57" t="inlineStr">
        <is>
          <t>ART-B-SEG-S1</t>
        </is>
      </c>
      <c r="B32" s="57" t="inlineStr">
        <is>
          <t>Seguimiento</t>
        </is>
      </c>
      <c r="C32" s="166" t="inlineStr">
        <is>
          <t>Ajustes propuestos para sprint siguiente</t>
        </is>
      </c>
      <c r="D32" s="167" t="inlineStr">
        <is>
          <t>No</t>
        </is>
      </c>
      <c r="E32" s="164" t="n">
        <v>1</v>
      </c>
      <c r="F32" s="165" t="inlineStr">
        <is>
          <t>04_codigo\04a_casoBase\documentacion\EJECUCIÓN\Sprint 1\Sprint 1 - Review.pdf + 04_codigo\04a_casoBase\documentacion\EJECUCIÓN\Sprint 1\Sprint 1 - Retrospetive.pdf + 04_codigo\04a_casoBase\documentacion\EJECUCIÓN\REGISTRO DE INCIDENCIAS.pdf + 04_codigo\04a_casoBase\documentacion\EJECUCIÓN\REGISTRO DE CAMBIOS.pdf + 04_codigo\04a_casoBase\documentacion\EJECUCIÓN\REGISTRO DE DECISIONES.pdf + 04_codigo\04a_casoBase\documentacion\SEGUIMIENTO\Daily Scrum Sprint 1.pdf + 04_codigo\04a_casoBase\documentacion\SEGUIMIENTO\Daily Scrum Sprint 2.pdf + 04_codigo\04a_casoBase\documentacion\SEGUIMIENTO\Daily Scrum Sprint 3.pdf</t>
        </is>
      </c>
    </row>
    <row r="33" ht="105.6" customHeight="1">
      <c r="A33" s="57" t="inlineStr">
        <is>
          <t>ART-B-SEG-S2</t>
        </is>
      </c>
      <c r="B33" s="57" t="inlineStr">
        <is>
          <t>Seguimiento</t>
        </is>
      </c>
      <c r="C33" s="166" t="inlineStr">
        <is>
          <t>Identificación del sprint y HU planificadas *</t>
        </is>
      </c>
      <c r="D33" s="167" t="inlineStr">
        <is>
          <t>Sí</t>
        </is>
      </c>
      <c r="E33" s="164" t="n">
        <v>0</v>
      </c>
      <c r="F33" s="165" t="inlineStr">
        <is>
          <t>04_codigo\04a_casoBase\documentacion\EJECUCIÓN\Sprint 2\Sprint 2 - Review.pdf + 04_codigo\04a_casoBase\documentacion\EJECUCIÓN\Sprint 2\Sprint 2 - Retrospetive.pdf + 04_codigo\04a_casoBase\documentacion\EJECUCIÓN\REGISTRO DE INCIDENCIAS.pdf + 04_codigo\04a_casoBase\documentacion\EJECUCIÓN\REGISTRO DE CAMBIOS.pdf + 04_codigo\04a_casoBase\documentacion\EJECUCIÓN\REGISTRO DE DECISIONES.pdf + 04_codigo\04a_casoBase\documentacion\SEGUIMIENTO\Daily Scrum Sprint 1.pdf + 04_codigo\04a_casoBase\documentacion\SEGUIMIENTO\Daily Scrum Sprint 2.pdf + 04_codigo\04a_casoBase\documentacion\SEGUIMIENTO\Daily Scrum Sprint 3.pdf</t>
        </is>
      </c>
    </row>
    <row r="34" ht="105.6" customHeight="1">
      <c r="A34" s="57" t="inlineStr">
        <is>
          <t>ART-B-SEG-S2</t>
        </is>
      </c>
      <c r="B34" s="57" t="inlineStr">
        <is>
          <t>Seguimiento</t>
        </is>
      </c>
      <c r="C34" s="166" t="inlineStr">
        <is>
          <t>Valoración del cumplimiento por HU (completada/parcial/no) *</t>
        </is>
      </c>
      <c r="D34" s="167" t="inlineStr">
        <is>
          <t>Sí</t>
        </is>
      </c>
      <c r="E34" s="164" t="n">
        <v>0</v>
      </c>
      <c r="F34" s="165" t="inlineStr">
        <is>
          <t>04_codigo\04a_casoBase\documentacion\EJECUCIÓN\Sprint 2\Sprint 2 - Review.pdf + 04_codigo\04a_casoBase\documentacion\EJECUCIÓN\Sprint 2\Sprint 2 - Retrospetive.pdf + 04_codigo\04a_casoBase\documentacion\EJECUCIÓN\REGISTRO DE INCIDENCIAS.pdf + 04_codigo\04a_casoBase\documentacion\EJECUCIÓN\REGISTRO DE CAMBIOS.pdf + 04_codigo\04a_casoBase\documentacion\EJECUCIÓN\REGISTRO DE DECISIONES.pdf + 04_codigo\04a_casoBase\documentacion\SEGUIMIENTO\Daily Scrum Sprint 1.pdf + 04_codigo\04a_casoBase\documentacion\SEGUIMIENTO\Daily Scrum Sprint 2.pdf + 04_codigo\04a_casoBase\documentacion\SEGUIMIENTO\Daily Scrum Sprint 3.pdf</t>
        </is>
      </c>
    </row>
    <row r="35" ht="105.6" customHeight="1">
      <c r="A35" s="57" t="inlineStr">
        <is>
          <t>ART-B-SEG-S2</t>
        </is>
      </c>
      <c r="B35" s="57" t="inlineStr">
        <is>
          <t>Seguimiento</t>
        </is>
      </c>
      <c r="C35" s="166" t="inlineStr">
        <is>
          <t>Listado de entregables efectivamente producidos *</t>
        </is>
      </c>
      <c r="D35" s="167" t="inlineStr">
        <is>
          <t>Sí</t>
        </is>
      </c>
      <c r="E35" s="164" t="n">
        <v>1</v>
      </c>
      <c r="F35" s="165" t="inlineStr">
        <is>
          <t>04_codigo\04a_casoBase\documentacion\EJECUCIÓN\Sprint 2\Sprint 2 - Review.pdf + 04_codigo\04a_casoBase\documentacion\EJECUCIÓN\Sprint 2\Sprint 2 - Retrospetive.pdf + 04_codigo\04a_casoBase\documentacion\EJECUCIÓN\REGISTRO DE INCIDENCIAS.pdf + 04_codigo\04a_casoBase\documentacion\EJECUCIÓN\REGISTRO DE CAMBIOS.pdf + 04_codigo\04a_casoBase\documentacion\EJECUCIÓN\REGISTRO DE DECISIONES.pdf + 04_codigo\04a_casoBase\documentacion\SEGUIMIENTO\Daily Scrum Sprint 1.pdf + 04_codigo\04a_casoBase\documentacion\SEGUIMIENTO\Daily Scrum Sprint 2.pdf + 04_codigo\04a_casoBase\documentacion\SEGUIMIENTO\Daily Scrum Sprint 3.pdf</t>
        </is>
      </c>
    </row>
    <row r="36" ht="105.6" customHeight="1">
      <c r="A36" s="57" t="inlineStr">
        <is>
          <t>ART-B-SEG-S2</t>
        </is>
      </c>
      <c r="B36" s="57" t="inlineStr">
        <is>
          <t>Seguimiento</t>
        </is>
      </c>
      <c r="C36" s="166" t="inlineStr">
        <is>
          <t>Registro de incidencias detectadas *</t>
        </is>
      </c>
      <c r="D36" s="167" t="inlineStr">
        <is>
          <t>Sí</t>
        </is>
      </c>
      <c r="E36" s="164" t="n">
        <v>1</v>
      </c>
      <c r="F36" s="165" t="inlineStr">
        <is>
          <t>04_codigo\04a_casoBase\documentacion\EJECUCIÓN\Sprint 2\Sprint 2 - Review.pdf + 04_codigo\04a_casoBase\documentacion\EJECUCIÓN\Sprint 2\Sprint 2 - Retrospetive.pdf + 04_codigo\04a_casoBase\documentacion\EJECUCIÓN\REGISTRO DE INCIDENCIAS.pdf + 04_codigo\04a_casoBase\documentacion\EJECUCIÓN\REGISTRO DE CAMBIOS.pdf + 04_codigo\04a_casoBase\documentacion\EJECUCIÓN\REGISTRO DE DECISIONES.pdf + 04_codigo\04a_casoBase\documentacion\SEGUIMIENTO\Daily Scrum Sprint 1.pdf + 04_codigo\04a_casoBase\documentacion\SEGUIMIENTO\Daily Scrum Sprint 2.pdf + 04_codigo\04a_casoBase\documentacion\SEGUIMIENTO\Daily Scrum Sprint 3.pdf</t>
        </is>
      </c>
    </row>
    <row r="37" ht="105.6" customHeight="1">
      <c r="A37" s="57" t="inlineStr">
        <is>
          <t>ART-B-SEG-S2</t>
        </is>
      </c>
      <c r="B37" s="57" t="inlineStr">
        <is>
          <t>Seguimiento</t>
        </is>
      </c>
      <c r="C37" s="166" t="inlineStr">
        <is>
          <t>Observaciones sobre funcionamiento del proceso</t>
        </is>
      </c>
      <c r="D37" s="167" t="inlineStr">
        <is>
          <t>No</t>
        </is>
      </c>
      <c r="E37" s="164" t="n">
        <v>0</v>
      </c>
      <c r="F37" s="165" t="inlineStr">
        <is>
          <t>04_codigo\04a_casoBase\documentacion\EJECUCIÓN\Sprint 2\Sprint 2 - Review.pdf + 04_codigo\04a_casoBase\documentacion\EJECUCIÓN\Sprint 2\Sprint 2 - Retrospetive.pdf + 04_codigo\04a_casoBase\documentacion\EJECUCIÓN\REGISTRO DE INCIDENCIAS.pdf + 04_codigo\04a_casoBase\documentacion\EJECUCIÓN\REGISTRO DE CAMBIOS.pdf + 04_codigo\04a_casoBase\documentacion\EJECUCIÓN\REGISTRO DE DECISIONES.pdf + 04_codigo\04a_casoBase\documentacion\SEGUIMIENTO\Daily Scrum Sprint 1.pdf + 04_codigo\04a_casoBase\documentacion\SEGUIMIENTO\Daily Scrum Sprint 2.pdf + 04_codigo\04a_casoBase\documentacion\SEGUIMIENTO\Daily Scrum Sprint 3.pdf</t>
        </is>
      </c>
    </row>
    <row r="38" ht="105.6" customHeight="1">
      <c r="A38" s="57" t="inlineStr">
        <is>
          <t>ART-B-SEG-S2</t>
        </is>
      </c>
      <c r="B38" s="57" t="inlineStr">
        <is>
          <t>Seguimiento</t>
        </is>
      </c>
      <c r="C38" s="166" t="inlineStr">
        <is>
          <t>Ajustes propuestos para sprint siguiente</t>
        </is>
      </c>
      <c r="D38" s="167" t="inlineStr">
        <is>
          <t>No</t>
        </is>
      </c>
      <c r="E38" s="164" t="n">
        <v>1</v>
      </c>
      <c r="F38" s="165" t="inlineStr">
        <is>
          <t>04_codigo\04a_casoBase\documentacion\EJECUCIÓN\Sprint 2\Sprint 2 - Review.pdf + 04_codigo\04a_casoBase\documentacion\EJECUCIÓN\Sprint 2\Sprint 2 - Retrospetive.pdf + 04_codigo\04a_casoBase\documentacion\EJECUCIÓN\REGISTRO DE INCIDENCIAS.pdf + 04_codigo\04a_casoBase\documentacion\EJECUCIÓN\REGISTRO DE CAMBIOS.pdf + 04_codigo\04a_casoBase\documentacion\EJECUCIÓN\REGISTRO DE DECISIONES.pdf + 04_codigo\04a_casoBase\documentacion\SEGUIMIENTO\Daily Scrum Sprint 1.pdf + 04_codigo\04a_casoBase\documentacion\SEGUIMIENTO\Daily Scrum Sprint 2.pdf + 04_codigo\04a_casoBase\documentacion\SEGUIMIENTO\Daily Scrum Sprint 3.pdf</t>
        </is>
      </c>
    </row>
    <row r="39" ht="105.6" customHeight="1">
      <c r="A39" s="57" t="inlineStr">
        <is>
          <t>ART-B-SEG-S3</t>
        </is>
      </c>
      <c r="B39" s="57" t="inlineStr">
        <is>
          <t>Seguimiento</t>
        </is>
      </c>
      <c r="C39" s="166" t="inlineStr">
        <is>
          <t>Identificación del sprint y HU planificadas *</t>
        </is>
      </c>
      <c r="D39" s="167" t="inlineStr">
        <is>
          <t>Sí</t>
        </is>
      </c>
      <c r="E39" s="164" t="n">
        <v>0</v>
      </c>
      <c r="F39" s="165" t="inlineStr">
        <is>
          <t>04_codigo\04a_casoBase\documentacion\EJECUCIÓN\Sprint 3\Sprint 3 - Review.pdf + 04_codigo\04a_casoBase\documentacion\EJECUCIÓN\Sprint 3\Sprint 3 - Retrospetive.pdf + 04_codigo\04a_casoBase\documentacion\EJECUCIÓN\REGISTRO DE INCIDENCIAS.pdf + 04_codigo\04a_casoBase\documentacion\EJECUCIÓN\REGISTRO DE CAMBIOS.pdf + 04_codigo\04a_casoBase\documentacion\EJECUCIÓN\REGISTRO DE DECISIONES.pdf + 04_codigo\04a_casoBase\documentacion\SEGUIMIENTO\Daily Scrum Sprint 1.pdf + 04_codigo\04a_casoBase\documentacion\SEGUIMIENTO\Daily Scrum Sprint 2.pdf + 04_codigo\04a_casoBase\documentacion\SEGUIMIENTO\Daily Scrum Sprint 3.pdf</t>
        </is>
      </c>
    </row>
    <row r="40" ht="105.6" customHeight="1">
      <c r="A40" s="57" t="inlineStr">
        <is>
          <t>ART-B-SEG-S3</t>
        </is>
      </c>
      <c r="B40" s="57" t="inlineStr">
        <is>
          <t>Seguimiento</t>
        </is>
      </c>
      <c r="C40" s="166" t="inlineStr">
        <is>
          <t>Valoración del cumplimiento por HU (completada/parcial/no) *</t>
        </is>
      </c>
      <c r="D40" s="167" t="inlineStr">
        <is>
          <t>Sí</t>
        </is>
      </c>
      <c r="E40" s="164" t="n">
        <v>0</v>
      </c>
      <c r="F40" s="165" t="inlineStr">
        <is>
          <t>04_codigo\04a_casoBase\documentacion\EJECUCIÓN\Sprint 3\Sprint 3 - Review.pdf + 04_codigo\04a_casoBase\documentacion\EJECUCIÓN\Sprint 3\Sprint 3 - Retrospetive.pdf + 04_codigo\04a_casoBase\documentacion\EJECUCIÓN\REGISTRO DE INCIDENCIAS.pdf + 04_codigo\04a_casoBase\documentacion\EJECUCIÓN\REGISTRO DE CAMBIOS.pdf + 04_codigo\04a_casoBase\documentacion\EJECUCIÓN\REGISTRO DE DECISIONES.pdf + 04_codigo\04a_casoBase\documentacion\SEGUIMIENTO\Daily Scrum Sprint 1.pdf + 04_codigo\04a_casoBase\documentacion\SEGUIMIENTO\Daily Scrum Sprint 2.pdf + 04_codigo\04a_casoBase\documentacion\SEGUIMIENTO\Daily Scrum Sprint 3.pdf</t>
        </is>
      </c>
    </row>
    <row r="41" ht="105.6" customHeight="1">
      <c r="A41" s="57" t="inlineStr">
        <is>
          <t>ART-B-SEG-S3</t>
        </is>
      </c>
      <c r="B41" s="57" t="inlineStr">
        <is>
          <t>Seguimiento</t>
        </is>
      </c>
      <c r="C41" s="166" t="inlineStr">
        <is>
          <t>Listado de entregables efectivamente producidos *</t>
        </is>
      </c>
      <c r="D41" s="167" t="inlineStr">
        <is>
          <t>Sí</t>
        </is>
      </c>
      <c r="E41" s="164" t="n">
        <v>1</v>
      </c>
      <c r="F41" s="165" t="inlineStr">
        <is>
          <t>04_codigo\04a_casoBase\documentacion\EJECUCIÓN\Sprint 3\Sprint 3 - Review.pdf + 04_codigo\04a_casoBase\documentacion\EJECUCIÓN\Sprint 3\Sprint 3 - Retrospetive.pdf + 04_codigo\04a_casoBase\documentacion\EJECUCIÓN\REGISTRO DE INCIDENCIAS.pdf + 04_codigo\04a_casoBase\documentacion\EJECUCIÓN\REGISTRO DE CAMBIOS.pdf + 04_codigo\04a_casoBase\documentacion\EJECUCIÓN\REGISTRO DE DECISIONES.pdf + 04_codigo\04a_casoBase\documentacion\SEGUIMIENTO\Daily Scrum Sprint 1.pdf + 04_codigo\04a_casoBase\documentacion\SEGUIMIENTO\Daily Scrum Sprint 2.pdf + 04_codigo\04a_casoBase\documentacion\SEGUIMIENTO\Daily Scrum Sprint 3.pdf</t>
        </is>
      </c>
    </row>
    <row r="42" ht="105.6" customHeight="1">
      <c r="A42" s="57" t="inlineStr">
        <is>
          <t>ART-B-SEG-S3</t>
        </is>
      </c>
      <c r="B42" s="57" t="inlineStr">
        <is>
          <t>Seguimiento</t>
        </is>
      </c>
      <c r="C42" s="166" t="inlineStr">
        <is>
          <t>Registro de incidencias detectadas *</t>
        </is>
      </c>
      <c r="D42" s="167" t="inlineStr">
        <is>
          <t>Sí</t>
        </is>
      </c>
      <c r="E42" s="164" t="n">
        <v>1</v>
      </c>
      <c r="F42" s="165" t="inlineStr">
        <is>
          <t>04_codigo\04a_casoBase\documentacion\EJECUCIÓN\Sprint 3\Sprint 3 - Review.pdf + 04_codigo\04a_casoBase\documentacion\EJECUCIÓN\Sprint 3\Sprint 3 - Retrospetive.pdf + 04_codigo\04a_casoBase\documentacion\EJECUCIÓN\REGISTRO DE INCIDENCIAS.pdf + 04_codigo\04a_casoBase\documentacion\EJECUCIÓN\REGISTRO DE CAMBIOS.pdf + 04_codigo\04a_casoBase\documentacion\EJECUCIÓN\REGISTRO DE DECISIONES.pdf + 04_codigo\04a_casoBase\documentacion\SEGUIMIENTO\Daily Scrum Sprint 1.pdf + 04_codigo\04a_casoBase\documentacion\SEGUIMIENTO\Daily Scrum Sprint 2.pdf + 04_codigo\04a_casoBase\documentacion\SEGUIMIENTO\Daily Scrum Sprint 3.pdf</t>
        </is>
      </c>
    </row>
    <row r="43" ht="105.6" customHeight="1">
      <c r="A43" s="57" t="inlineStr">
        <is>
          <t>ART-B-SEG-S3</t>
        </is>
      </c>
      <c r="B43" s="57" t="inlineStr">
        <is>
          <t>Seguimiento</t>
        </is>
      </c>
      <c r="C43" s="166" t="inlineStr">
        <is>
          <t>Observaciones sobre funcionamiento del proceso</t>
        </is>
      </c>
      <c r="D43" s="167" t="inlineStr">
        <is>
          <t>No</t>
        </is>
      </c>
      <c r="E43" s="164" t="n">
        <v>0</v>
      </c>
      <c r="F43" s="165" t="inlineStr">
        <is>
          <t>04_codigo\04a_casoBase\documentacion\EJECUCIÓN\Sprint 3\Sprint 3 - Review.pdf + 04_codigo\04a_casoBase\documentacion\EJECUCIÓN\Sprint 3\Sprint 3 - Retrospetive.pdf + 04_codigo\04a_casoBase\documentacion\EJECUCIÓN\REGISTRO DE INCIDENCIAS.pdf + 04_codigo\04a_casoBase\documentacion\EJECUCIÓN\REGISTRO DE CAMBIOS.pdf + 04_codigo\04a_casoBase\documentacion\EJECUCIÓN\REGISTRO DE DECISIONES.pdf + 04_codigo\04a_casoBase\documentacion\SEGUIMIENTO\Daily Scrum Sprint 1.pdf + 04_codigo\04a_casoBase\documentacion\SEGUIMIENTO\Daily Scrum Sprint 2.pdf + 04_codigo\04a_casoBase\documentacion\SEGUIMIENTO\Daily Scrum Sprint 3.pdf</t>
        </is>
      </c>
    </row>
    <row r="44" ht="105.6" customHeight="1">
      <c r="A44" s="57" t="inlineStr">
        <is>
          <t>ART-B-SEG-S3</t>
        </is>
      </c>
      <c r="B44" s="57" t="inlineStr">
        <is>
          <t>Seguimiento</t>
        </is>
      </c>
      <c r="C44" s="166" t="inlineStr">
        <is>
          <t>Ajustes propuestos para sprint siguiente</t>
        </is>
      </c>
      <c r="D44" s="167" t="inlineStr">
        <is>
          <t>No</t>
        </is>
      </c>
      <c r="E44" s="164" t="n">
        <v>1</v>
      </c>
      <c r="F44" s="165" t="inlineStr">
        <is>
          <t>04_codigo\04a_casoBase\documentacion\EJECUCIÓN\Sprint 3\Sprint 3 - Review.pdf + 04_codigo\04a_casoBase\documentacion\EJECUCIÓN\Sprint 3\Sprint 3 - Retrospetive.pdf + 04_codigo\04a_casoBase\documentacion\EJECUCIÓN\REGISTRO DE INCIDENCIAS.pdf + 04_codigo\04a_casoBase\documentacion\EJECUCIÓN\REGISTRO DE CAMBIOS.pdf + 04_codigo\04a_casoBase\documentacion\EJECUCIÓN\REGISTRO DE DECISIONES.pdf + 04_codigo\04a_casoBase\documentacion\SEGUIMIENTO\Daily Scrum Sprint 1.pdf + 04_codigo\04a_casoBase\documentacion\SEGUIMIENTO\Daily Scrum Sprint 2.pdf + 04_codigo\04a_casoBase\documentacion\SEGUIMIENTO\Daily Scrum Sprint 3.pdf</t>
        </is>
      </c>
    </row>
    <row r="45" ht="79.2" customHeight="1">
      <c r="A45" s="57" t="inlineStr">
        <is>
          <t>ART-B-CIE</t>
        </is>
      </c>
      <c r="B45" s="57" t="inlineStr">
        <is>
          <t>Cierre</t>
        </is>
      </c>
      <c r="C45" s="166" t="inlineStr">
        <is>
          <t>Resultado global del proyecto/ejecución *</t>
        </is>
      </c>
      <c r="D45" s="167" t="inlineStr">
        <is>
          <t>Sí</t>
        </is>
      </c>
      <c r="E45" s="164" t="n">
        <v>1</v>
      </c>
      <c r="F45" s="165" t="inlineStr">
        <is>
          <t>04_codigo\04a_casoBase\documentacion\CIERRE\Lecciones aprendidas.pdf + 04_codigo\04a_casoBase\documentacion\CIERRE\Informe de cierre.pdf + 04_codigo\04a_casoBase\documentacion\SEGUIMIENTO\Cierre\Informe de Seguimiento - Cierre.pdf + 04_codigo\04a_casoBase\documentacion\SEGUIMIENTO\Cierre\Valor Ganado Cierre.pdf + 04_codigo\04a_casoBase\documentacion\SEGUIMIENTO\Cierre\Informe de Costos - Cierre.pdf + 04_codigo\04a_casoBase\documentacion\CIERRE\PROJECT CIERRE.pdf</t>
        </is>
      </c>
    </row>
    <row r="46" ht="132" customHeight="1">
      <c r="A46" s="57" t="inlineStr">
        <is>
          <t>ART-B-CIE</t>
        </is>
      </c>
      <c r="B46" s="57" t="inlineStr">
        <is>
          <t>Cierre</t>
        </is>
      </c>
      <c r="C46" s="166" t="inlineStr">
        <is>
          <t>Síntesis de incidencias significativas *</t>
        </is>
      </c>
      <c r="D46" s="167" t="inlineStr">
        <is>
          <t>Sí</t>
        </is>
      </c>
      <c r="E46" s="164" t="n">
        <v>1</v>
      </c>
      <c r="F46" s="165" t="inlineStr">
        <is>
          <t>04_codigo\04a_casoBase\documentacion\CIERRE\Lecciones aprendidas.pdf + 04_codigo\04a_casoBase\documentacion\CIERRE\Informe de cierre.pdf + 04_codigo\04a_casoBase\documentacion\EJECUCIÓN\REGISTRO DE CAMBIOS.pdf + 04_codigo\04a_casoBase\documentacion\EJECUCIÓN\REGISTRO DE DECISIONES.pdf + 04_codigo\04a_casoBase\documentacion\EJECUCIÓN\REGISTRO DE INCIDENCIAS.pdf + 04_codigo\04a_casoBase\documentacion\EJECUCIÓN\Solicitud de cambio_01.pdf + 04_codigo\04a_casoBase\documentacion\EJECUCIÓN\Solicitud de cambio_02.pdf + 04_codigo\04a_casoBase\documentacion\EJECUCIÓN\Solicitud de cambio_03.pdf + 04_codigo\04a_casoBase\documentacion\EJECUCIÓN\Solicitud de cambio_04.pdf + 04_codigo\04a_casoBase\documentacion\EJECUCIÓN\Solicitud de cambio_05.pdf</t>
        </is>
      </c>
    </row>
    <row r="47" ht="26.4" customHeight="1">
      <c r="A47" s="57" t="inlineStr">
        <is>
          <t>ART-B-CIE</t>
        </is>
      </c>
      <c r="B47" s="57" t="inlineStr">
        <is>
          <t>Cierre</t>
        </is>
      </c>
      <c r="C47" s="166" t="inlineStr">
        <is>
          <t>Valoración de lo que funcionó y lo que no *</t>
        </is>
      </c>
      <c r="D47" s="167" t="inlineStr">
        <is>
          <t>Sí</t>
        </is>
      </c>
      <c r="E47" s="164" t="n">
        <v>1</v>
      </c>
      <c r="F47" s="165" t="inlineStr">
        <is>
          <t>04_codigo\04a_casoBase\documentacion\CIERRE\Lecciones aprendidas.pdf + 04_codigo\04a_casoBase\documentacion\CIERRE\Informe de cierre.pdf</t>
        </is>
      </c>
    </row>
    <row r="48" ht="132" customHeight="1">
      <c r="A48" s="57" t="inlineStr">
        <is>
          <t>ART-B-CIE</t>
        </is>
      </c>
      <c r="B48" s="57" t="inlineStr">
        <is>
          <t>Cierre</t>
        </is>
      </c>
      <c r="C48" s="166" t="inlineStr">
        <is>
          <t>Registro de decisiones formales del proceso *</t>
        </is>
      </c>
      <c r="D48" s="167" t="inlineStr">
        <is>
          <t>Sí</t>
        </is>
      </c>
      <c r="E48" s="164" t="n">
        <v>1</v>
      </c>
      <c r="F48" s="165" t="inlineStr">
        <is>
          <t>04_codigo\04a_casoBase\documentacion\CIERRE\Lecciones aprendidas.pdf + 04_codigo\04a_casoBase\documentacion\CIERRE\Informe de cierre.pdf + 04_codigo\04a_casoBase\documentacion\EJECUCIÓN\REGISTRO DE CAMBIOS.pdf + 04_codigo\04a_casoBase\documentacion\EJECUCIÓN\REGISTRO DE DECISIONES.pdf + 04_codigo\04a_casoBase\documentacion\EJECUCIÓN\REGISTRO DE INCIDENCIAS.pdf + 04_codigo\04a_casoBase\documentacion\EJECUCIÓN\Solicitud de cambio_01.pdf + 04_codigo\04a_casoBase\documentacion\EJECUCIÓN\Solicitud de cambio_02.pdf + 04_codigo\04a_casoBase\documentacion\EJECUCIÓN\Solicitud de cambio_03.pdf + 04_codigo\04a_casoBase\documentacion\EJECUCIÓN\Solicitud de cambio_04.pdf + 04_codigo\04a_casoBase\documentacion\EJECUCIÓN\Solicitud de cambio_05.pdf</t>
        </is>
      </c>
    </row>
    <row r="49" ht="26.4" customHeight="1">
      <c r="A49" s="57" t="inlineStr">
        <is>
          <t>ART-B-CIE</t>
        </is>
      </c>
      <c r="B49" s="57" t="inlineStr">
        <is>
          <t>Cierre</t>
        </is>
      </c>
      <c r="C49" s="166" t="inlineStr">
        <is>
          <t>Recomendaciones para iteraciones futuras</t>
        </is>
      </c>
      <c r="D49" s="167" t="inlineStr">
        <is>
          <t>No</t>
        </is>
      </c>
      <c r="E49" s="164" t="n">
        <v>0</v>
      </c>
      <c r="F49" s="165" t="inlineStr">
        <is>
          <t>04_codigo\04a_casoBase\documentacion\CIERRE\Lecciones aprendidas.pdf + 04_codigo\04a_casoBase\documentacion\CIERRE\Informe de cierre.pdf</t>
        </is>
      </c>
    </row>
    <row r="50" ht="79.8" customHeight="1" thickBot="1">
      <c r="A50" s="58" t="inlineStr">
        <is>
          <t>ART-B-CIE</t>
        </is>
      </c>
      <c r="B50" s="58" t="inlineStr">
        <is>
          <t>Cierre</t>
        </is>
      </c>
      <c r="C50" s="169" t="inlineStr">
        <is>
          <t>Identificación de causas raíz</t>
        </is>
      </c>
      <c r="D50" s="170" t="inlineStr">
        <is>
          <t>No</t>
        </is>
      </c>
      <c r="E50" s="171" t="n">
        <v>0</v>
      </c>
      <c r="F50" s="172" t="inlineStr">
        <is>
          <t>04_codigo\04a_casoBase\documentacion\CIERRE\Lecciones aprendidas.pdf + 04_codigo\04a_casoBase\documentacion\CIERRE\Informe de cierre.pdf + 04_codigo\04a_casoBase\documentacion\SEGUIMIENTO\Cierre\Informe de Seguimiento - Cierre.pdf + 04_codigo\04a_casoBase\documentacion\SEGUIMIENTO\Cierre\Valor Ganado Cierre.pdf + 04_codigo\04a_casoBase\documentacion\SEGUIMIENTO\Cierre\Informe de Costos - Cierre.pdf + 04_codigo\04a_casoBase\documentacion\CIERRE\PROJECT CIERRE.pdf</t>
        </is>
      </c>
    </row>
    <row r="51">
      <c r="A51" s="173" t="inlineStr">
        <is>
          <t>ART-run_01-REQ</t>
        </is>
      </c>
      <c r="B51" s="173" t="inlineStr">
        <is>
          <t>Requisitos</t>
        </is>
      </c>
      <c r="C51" s="174" t="inlineStr">
        <is>
          <t>Declaración de propósito / brief de referencia *</t>
        </is>
      </c>
      <c r="D51" s="175" t="inlineStr">
        <is>
          <t>Sí</t>
        </is>
      </c>
      <c r="E51" s="176" t="n">
        <v>1</v>
      </c>
      <c r="F51" s="177" t="n"/>
    </row>
    <row r="52">
      <c r="A52" s="64" t="inlineStr">
        <is>
          <t>ART-run_01-REQ</t>
        </is>
      </c>
      <c r="B52" s="64" t="inlineStr">
        <is>
          <t>Requisitos</t>
        </is>
      </c>
      <c r="C52" s="166" t="inlineStr">
        <is>
          <t>Conjunto de RF con ID, descripción y prioridad *</t>
        </is>
      </c>
      <c r="D52" s="167" t="inlineStr">
        <is>
          <t>Sí</t>
        </is>
      </c>
      <c r="E52" s="164" t="n">
        <v>1</v>
      </c>
      <c r="F52" s="165" t="n"/>
    </row>
    <row r="53">
      <c r="A53" s="64" t="inlineStr">
        <is>
          <t>ART-run_01-REQ</t>
        </is>
      </c>
      <c r="B53" s="64" t="inlineStr">
        <is>
          <t>Requisitos</t>
        </is>
      </c>
      <c r="C53" s="166" t="inlineStr">
        <is>
          <t>Conjunto de RNF con misma estructura *</t>
        </is>
      </c>
      <c r="D53" s="167" t="inlineStr">
        <is>
          <t>Sí</t>
        </is>
      </c>
      <c r="E53" s="164" t="n">
        <v>1</v>
      </c>
      <c r="F53" s="165" t="n"/>
    </row>
    <row r="54">
      <c r="A54" s="64" t="inlineStr">
        <is>
          <t>ART-run_01-REQ</t>
        </is>
      </c>
      <c r="B54" s="64" t="inlineStr">
        <is>
          <t>Requisitos</t>
        </is>
      </c>
      <c r="C54" s="166" t="inlineStr">
        <is>
          <t>Cobertura mínima de funciones críticas del brief (auth/cat/reserva/admin) *</t>
        </is>
      </c>
      <c r="D54" s="167" t="inlineStr">
        <is>
          <t>Sí</t>
        </is>
      </c>
      <c r="E54" s="164" t="n">
        <v>1</v>
      </c>
      <c r="F54" s="165" t="n"/>
    </row>
    <row r="55">
      <c r="A55" s="64" t="inlineStr">
        <is>
          <t>ART-run_01-REQ</t>
        </is>
      </c>
      <c r="B55" s="64" t="inlineStr">
        <is>
          <t>Requisitos</t>
        </is>
      </c>
      <c r="C55" s="166" t="inlineStr">
        <is>
          <t>Declaración explícita de exclusiones</t>
        </is>
      </c>
      <c r="D55" s="167" t="inlineStr">
        <is>
          <t>No</t>
        </is>
      </c>
      <c r="E55" s="164" t="n">
        <v>0</v>
      </c>
      <c r="F55" s="165" t="n"/>
    </row>
    <row r="56">
      <c r="A56" s="64" t="inlineStr">
        <is>
          <t>ART-run_01-REQ</t>
        </is>
      </c>
      <c r="B56" s="64" t="inlineStr">
        <is>
          <t>Requisitos</t>
        </is>
      </c>
      <c r="C56" s="166" t="inlineStr">
        <is>
          <t>Registro de supuestos y restricciones</t>
        </is>
      </c>
      <c r="D56" s="167" t="inlineStr">
        <is>
          <t>No</t>
        </is>
      </c>
      <c r="E56" s="164" t="n">
        <v>0</v>
      </c>
      <c r="F56" s="165" t="n"/>
    </row>
    <row r="57">
      <c r="A57" s="64" t="inlineStr">
        <is>
          <t>ART-run_01-REQ</t>
        </is>
      </c>
      <c r="B57" s="64" t="inlineStr">
        <is>
          <t>Requisitos</t>
        </is>
      </c>
      <c r="C57" s="166" t="inlineStr">
        <is>
          <t>Criterios genéricos de aceptación a nivel de proyecto</t>
        </is>
      </c>
      <c r="D57" s="167" t="inlineStr">
        <is>
          <t>No</t>
        </is>
      </c>
      <c r="E57" s="164" t="n">
        <v>0</v>
      </c>
      <c r="F57" s="165" t="n"/>
    </row>
    <row r="58">
      <c r="A58" s="64" t="inlineStr">
        <is>
          <t>ART-run_01-PLAN</t>
        </is>
      </c>
      <c r="B58" s="64" t="inlineStr">
        <is>
          <t>Planificación</t>
        </is>
      </c>
      <c r="C58" s="166" t="inlineStr">
        <is>
          <t>Descomposición del alcance en HU con ID/descripción/prioridad *</t>
        </is>
      </c>
      <c r="D58" s="167" t="inlineStr">
        <is>
          <t>Sí</t>
        </is>
      </c>
      <c r="E58" s="164" t="n">
        <v>1</v>
      </c>
      <c r="F58" s="165" t="n"/>
    </row>
    <row r="59">
      <c r="A59" s="64" t="inlineStr">
        <is>
          <t>ART-run_01-PLAN</t>
        </is>
      </c>
      <c r="B59" s="64" t="inlineStr">
        <is>
          <t>Planificación</t>
        </is>
      </c>
      <c r="C59" s="166" t="inlineStr">
        <is>
          <t>Asignación de HU a sprints con objetivo declarado *</t>
        </is>
      </c>
      <c r="D59" s="167" t="inlineStr">
        <is>
          <t>Sí</t>
        </is>
      </c>
      <c r="E59" s="164" t="n">
        <v>1</v>
      </c>
      <c r="F59" s="165" t="n"/>
    </row>
    <row r="60">
      <c r="A60" s="64" t="inlineStr">
        <is>
          <t>ART-run_01-PLAN</t>
        </is>
      </c>
      <c r="B60" s="64" t="inlineStr">
        <is>
          <t>Planificación</t>
        </is>
      </c>
      <c r="C60" s="166" t="inlineStr">
        <is>
          <t>Entregable verificable por sprint *</t>
        </is>
      </c>
      <c r="D60" s="167" t="inlineStr">
        <is>
          <t>Sí</t>
        </is>
      </c>
      <c r="E60" s="164" t="n">
        <v>1</v>
      </c>
      <c r="F60" s="165" t="n"/>
    </row>
    <row r="61">
      <c r="A61" s="64" t="inlineStr">
        <is>
          <t>ART-run_01-PLAN</t>
        </is>
      </c>
      <c r="B61" s="64" t="inlineStr">
        <is>
          <t>Planificación</t>
        </is>
      </c>
      <c r="C61" s="166" t="inlineStr">
        <is>
          <t>Estimación de esfuerzo por HU *</t>
        </is>
      </c>
      <c r="D61" s="167" t="inlineStr">
        <is>
          <t>Sí</t>
        </is>
      </c>
      <c r="E61" s="164" t="n">
        <v>0</v>
      </c>
      <c r="F61" s="165" t="n"/>
    </row>
    <row r="62">
      <c r="A62" s="64" t="inlineStr">
        <is>
          <t>ART-run_01-PLAN</t>
        </is>
      </c>
      <c r="B62" s="64" t="inlineStr">
        <is>
          <t>Planificación</t>
        </is>
      </c>
      <c r="C62" s="166" t="inlineStr">
        <is>
          <t>Registro de riesgos con probabilidad/impacto/mitigación *</t>
        </is>
      </c>
      <c r="D62" s="167" t="inlineStr">
        <is>
          <t>Sí</t>
        </is>
      </c>
      <c r="E62" s="164" t="n">
        <v>1</v>
      </c>
      <c r="F62" s="165" t="n"/>
    </row>
    <row r="63">
      <c r="A63" s="64" t="inlineStr">
        <is>
          <t>ART-run_01-PLAN</t>
        </is>
      </c>
      <c r="B63" s="64" t="inlineStr">
        <is>
          <t>Planificación</t>
        </is>
      </c>
      <c r="C63" s="166" t="inlineStr">
        <is>
          <t>Criterios de aceptación por HU</t>
        </is>
      </c>
      <c r="D63" s="167" t="inlineStr">
        <is>
          <t>No</t>
        </is>
      </c>
      <c r="E63" s="164" t="n">
        <v>1</v>
      </c>
      <c r="F63" s="165" t="n"/>
    </row>
    <row r="64">
      <c r="A64" s="64" t="inlineStr">
        <is>
          <t>ART-run_01-PLAN</t>
        </is>
      </c>
      <c r="B64" s="64" t="inlineStr">
        <is>
          <t>Planificación</t>
        </is>
      </c>
      <c r="C64" s="166" t="inlineStr">
        <is>
          <t>Dependencias entre HU</t>
        </is>
      </c>
      <c r="D64" s="167" t="inlineStr">
        <is>
          <t>No</t>
        </is>
      </c>
      <c r="E64" s="164" t="n">
        <v>1</v>
      </c>
      <c r="F64" s="165" t="n"/>
    </row>
    <row r="65">
      <c r="A65" s="64" t="inlineStr">
        <is>
          <t>ART-run_01-PLAN</t>
        </is>
      </c>
      <c r="B65" s="64" t="inlineStr">
        <is>
          <t>Planificación</t>
        </is>
      </c>
      <c r="C65" s="166" t="inlineStr">
        <is>
          <t>Supuestos de capacidad del equipo</t>
        </is>
      </c>
      <c r="D65" s="167" t="inlineStr">
        <is>
          <t>No</t>
        </is>
      </c>
      <c r="E65" s="164" t="n">
        <v>0</v>
      </c>
      <c r="F65" s="165" t="n"/>
    </row>
    <row r="66">
      <c r="A66" s="64" t="inlineStr">
        <is>
          <t>ART-run_01-DIS</t>
        </is>
      </c>
      <c r="B66" s="64" t="inlineStr">
        <is>
          <t>Diseño técnico</t>
        </is>
      </c>
      <c r="C66" s="166" t="inlineStr">
        <is>
          <t>Declaración del stack tecnológico *</t>
        </is>
      </c>
      <c r="D66" s="167" t="inlineStr">
        <is>
          <t>Sí</t>
        </is>
      </c>
      <c r="E66" s="164" t="n">
        <v>1</v>
      </c>
      <c r="F66" s="165" t="n"/>
    </row>
    <row r="67">
      <c r="A67" s="64" t="inlineStr">
        <is>
          <t>ART-run_01-DIS</t>
        </is>
      </c>
      <c r="B67" s="64" t="inlineStr">
        <is>
          <t>Diseño técnico</t>
        </is>
      </c>
      <c r="C67" s="166" t="inlineStr">
        <is>
          <t>Inventario de módulos/apps con propósito *</t>
        </is>
      </c>
      <c r="D67" s="167" t="inlineStr">
        <is>
          <t>Sí</t>
        </is>
      </c>
      <c r="E67" s="164" t="n">
        <v>1</v>
      </c>
      <c r="F67" s="165" t="n"/>
    </row>
    <row r="68">
      <c r="A68" s="64" t="inlineStr">
        <is>
          <t>ART-run_01-DIS</t>
        </is>
      </c>
      <c r="B68" s="64" t="inlineStr">
        <is>
          <t>Diseño técnico</t>
        </is>
      </c>
      <c r="C68" s="166" t="inlineStr">
        <is>
          <t>Modelo de datos básico (entidades + relaciones) *</t>
        </is>
      </c>
      <c r="D68" s="167" t="inlineStr">
        <is>
          <t>Sí</t>
        </is>
      </c>
      <c r="E68" s="164" t="n">
        <v>1</v>
      </c>
      <c r="F68" s="165" t="n"/>
    </row>
    <row r="69">
      <c r="A69" s="64" t="inlineStr">
        <is>
          <t>ART-run_01-DIS</t>
        </is>
      </c>
      <c r="B69" s="64" t="inlineStr">
        <is>
          <t>Diseño técnico</t>
        </is>
      </c>
      <c r="C69" s="166" t="inlineStr">
        <is>
          <t>Identificación de archivos principales por módulo *</t>
        </is>
      </c>
      <c r="D69" s="167" t="inlineStr">
        <is>
          <t>Sí</t>
        </is>
      </c>
      <c r="E69" s="164" t="n">
        <v>1</v>
      </c>
      <c r="F69" s="165" t="n"/>
    </row>
    <row r="70">
      <c r="A70" s="64" t="inlineStr">
        <is>
          <t>ART-run_01-DIS</t>
        </is>
      </c>
      <c r="B70" s="64" t="inlineStr">
        <is>
          <t>Diseño técnico</t>
        </is>
      </c>
      <c r="C70" s="166" t="inlineStr">
        <is>
          <t>Decisiones de configuración relevantes</t>
        </is>
      </c>
      <c r="D70" s="167" t="inlineStr">
        <is>
          <t>No</t>
        </is>
      </c>
      <c r="E70" s="164" t="n">
        <v>1</v>
      </c>
      <c r="F70" s="165" t="n"/>
    </row>
    <row r="71">
      <c r="A71" s="64" t="inlineStr">
        <is>
          <t>ART-run_01-DIS</t>
        </is>
      </c>
      <c r="B71" s="64" t="inlineStr">
        <is>
          <t>Diseño técnico</t>
        </is>
      </c>
      <c r="C71" s="166" t="inlineStr">
        <is>
          <t>Declaración de dependencias entre módulos</t>
        </is>
      </c>
      <c r="D71" s="167" t="inlineStr">
        <is>
          <t>No</t>
        </is>
      </c>
      <c r="E71" s="164" t="n">
        <v>0</v>
      </c>
      <c r="F71" s="165" t="n"/>
    </row>
    <row r="72">
      <c r="A72" s="64" t="inlineStr">
        <is>
          <t>ART-run_01-DIS</t>
        </is>
      </c>
      <c r="B72" s="64" t="inlineStr">
        <is>
          <t>Diseño técnico</t>
        </is>
      </c>
      <c r="C72" s="166" t="inlineStr">
        <is>
          <t>Supuestos sobre entorno de despliegue</t>
        </is>
      </c>
      <c r="D72" s="167" t="inlineStr">
        <is>
          <t>No</t>
        </is>
      </c>
      <c r="E72" s="164" t="n">
        <v>0</v>
      </c>
      <c r="F72" s="165" t="n"/>
    </row>
    <row r="73">
      <c r="A73" s="64" t="inlineStr">
        <is>
          <t>ART-run_01-SEG-S1</t>
        </is>
      </c>
      <c r="B73" s="64" t="inlineStr">
        <is>
          <t>Seguimiento</t>
        </is>
      </c>
      <c r="C73" s="166" t="inlineStr">
        <is>
          <t>Identificación del sprint y HU planificadas *</t>
        </is>
      </c>
      <c r="D73" s="167" t="inlineStr">
        <is>
          <t>Sí</t>
        </is>
      </c>
      <c r="E73" s="164" t="n">
        <v>1</v>
      </c>
      <c r="F73" s="165" t="n"/>
    </row>
    <row r="74">
      <c r="A74" s="64" t="inlineStr">
        <is>
          <t>ART-run_01-SEG-S1</t>
        </is>
      </c>
      <c r="B74" s="64" t="inlineStr">
        <is>
          <t>Seguimiento</t>
        </is>
      </c>
      <c r="C74" s="166" t="inlineStr">
        <is>
          <t>Valoración del cumplimiento por HU (completada/parcial/no) *</t>
        </is>
      </c>
      <c r="D74" s="167" t="inlineStr">
        <is>
          <t>Sí</t>
        </is>
      </c>
      <c r="E74" s="164" t="n">
        <v>1</v>
      </c>
      <c r="F74" s="165" t="n"/>
    </row>
    <row r="75">
      <c r="A75" s="64" t="inlineStr">
        <is>
          <t>ART-run_01-SEG-S1</t>
        </is>
      </c>
      <c r="B75" s="64" t="inlineStr">
        <is>
          <t>Seguimiento</t>
        </is>
      </c>
      <c r="C75" s="166" t="inlineStr">
        <is>
          <t>Listado de entregables efectivamente producidos *</t>
        </is>
      </c>
      <c r="D75" s="167" t="inlineStr">
        <is>
          <t>Sí</t>
        </is>
      </c>
      <c r="E75" s="164" t="n">
        <v>1</v>
      </c>
      <c r="F75" s="165" t="n"/>
    </row>
    <row r="76">
      <c r="A76" s="64" t="inlineStr">
        <is>
          <t>ART-run_01-SEG-S1</t>
        </is>
      </c>
      <c r="B76" s="64" t="inlineStr">
        <is>
          <t>Seguimiento</t>
        </is>
      </c>
      <c r="C76" s="166" t="inlineStr">
        <is>
          <t>Registro de incidencias detectadas *</t>
        </is>
      </c>
      <c r="D76" s="167" t="inlineStr">
        <is>
          <t>Sí</t>
        </is>
      </c>
      <c r="E76" s="164" t="n">
        <v>1</v>
      </c>
      <c r="F76" s="165" t="n"/>
    </row>
    <row r="77">
      <c r="A77" s="64" t="inlineStr">
        <is>
          <t>ART-run_01-SEG-S1</t>
        </is>
      </c>
      <c r="B77" s="64" t="inlineStr">
        <is>
          <t>Seguimiento</t>
        </is>
      </c>
      <c r="C77" s="166" t="inlineStr">
        <is>
          <t>Observaciones sobre funcionamiento del proceso</t>
        </is>
      </c>
      <c r="D77" s="167" t="inlineStr">
        <is>
          <t>No</t>
        </is>
      </c>
      <c r="E77" s="164" t="n">
        <v>1</v>
      </c>
      <c r="F77" s="165" t="n"/>
    </row>
    <row r="78">
      <c r="A78" s="64" t="inlineStr">
        <is>
          <t>ART-run_01-SEG-S1</t>
        </is>
      </c>
      <c r="B78" s="64" t="inlineStr">
        <is>
          <t>Seguimiento</t>
        </is>
      </c>
      <c r="C78" s="166" t="inlineStr">
        <is>
          <t>Ajustes propuestos para sprint siguiente</t>
        </is>
      </c>
      <c r="D78" s="167" t="inlineStr">
        <is>
          <t>No</t>
        </is>
      </c>
      <c r="E78" s="164" t="n">
        <v>1</v>
      </c>
      <c r="F78" s="165" t="n"/>
    </row>
    <row r="79">
      <c r="A79" s="64" t="inlineStr">
        <is>
          <t>ART-run_01-SEG-S2</t>
        </is>
      </c>
      <c r="B79" s="64" t="inlineStr">
        <is>
          <t>Seguimiento</t>
        </is>
      </c>
      <c r="C79" s="166" t="inlineStr">
        <is>
          <t>Identificación del sprint y HU planificadas *</t>
        </is>
      </c>
      <c r="D79" s="167" t="inlineStr">
        <is>
          <t>Sí</t>
        </is>
      </c>
      <c r="E79" s="164" t="n">
        <v>1</v>
      </c>
      <c r="F79" s="165" t="n"/>
    </row>
    <row r="80">
      <c r="A80" s="64" t="inlineStr">
        <is>
          <t>ART-run_01-SEG-S2</t>
        </is>
      </c>
      <c r="B80" s="64" t="inlineStr">
        <is>
          <t>Seguimiento</t>
        </is>
      </c>
      <c r="C80" s="166" t="inlineStr">
        <is>
          <t>Valoración del cumplimiento por HU (completada/parcial/no) *</t>
        </is>
      </c>
      <c r="D80" s="167" t="inlineStr">
        <is>
          <t>Sí</t>
        </is>
      </c>
      <c r="E80" s="164" t="n">
        <v>1</v>
      </c>
      <c r="F80" s="165" t="n"/>
    </row>
    <row r="81">
      <c r="A81" s="64" t="inlineStr">
        <is>
          <t>ART-run_01-SEG-S2</t>
        </is>
      </c>
      <c r="B81" s="64" t="inlineStr">
        <is>
          <t>Seguimiento</t>
        </is>
      </c>
      <c r="C81" s="166" t="inlineStr">
        <is>
          <t>Listado de entregables efectivamente producidos *</t>
        </is>
      </c>
      <c r="D81" s="167" t="inlineStr">
        <is>
          <t>Sí</t>
        </is>
      </c>
      <c r="E81" s="164" t="n">
        <v>1</v>
      </c>
      <c r="F81" s="165" t="n"/>
    </row>
    <row r="82">
      <c r="A82" s="64" t="inlineStr">
        <is>
          <t>ART-run_01-SEG-S2</t>
        </is>
      </c>
      <c r="B82" s="64" t="inlineStr">
        <is>
          <t>Seguimiento</t>
        </is>
      </c>
      <c r="C82" s="166" t="inlineStr">
        <is>
          <t>Registro de incidencias detectadas *</t>
        </is>
      </c>
      <c r="D82" s="167" t="inlineStr">
        <is>
          <t>Sí</t>
        </is>
      </c>
      <c r="E82" s="164" t="n">
        <v>1</v>
      </c>
      <c r="F82" s="165" t="n"/>
    </row>
    <row r="83">
      <c r="A83" s="64" t="inlineStr">
        <is>
          <t>ART-run_01-SEG-S2</t>
        </is>
      </c>
      <c r="B83" s="64" t="inlineStr">
        <is>
          <t>Seguimiento</t>
        </is>
      </c>
      <c r="C83" s="166" t="inlineStr">
        <is>
          <t>Observaciones sobre funcionamiento del proceso</t>
        </is>
      </c>
      <c r="D83" s="167" t="inlineStr">
        <is>
          <t>No</t>
        </is>
      </c>
      <c r="E83" s="164" t="n">
        <v>1</v>
      </c>
      <c r="F83" s="165" t="n"/>
    </row>
    <row r="84">
      <c r="A84" s="64" t="inlineStr">
        <is>
          <t>ART-run_01-SEG-S2</t>
        </is>
      </c>
      <c r="B84" s="64" t="inlineStr">
        <is>
          <t>Seguimiento</t>
        </is>
      </c>
      <c r="C84" s="166" t="inlineStr">
        <is>
          <t>Ajustes propuestos para sprint siguiente</t>
        </is>
      </c>
      <c r="D84" s="167" t="inlineStr">
        <is>
          <t>No</t>
        </is>
      </c>
      <c r="E84" s="164" t="n">
        <v>0</v>
      </c>
      <c r="F84" s="165" t="n"/>
    </row>
    <row r="85">
      <c r="A85" s="64" t="inlineStr">
        <is>
          <t>ART-run_01-SEG-S3</t>
        </is>
      </c>
      <c r="B85" s="64" t="inlineStr">
        <is>
          <t>Seguimiento</t>
        </is>
      </c>
      <c r="C85" s="166" t="inlineStr">
        <is>
          <t>Identificación del sprint y HU planificadas *</t>
        </is>
      </c>
      <c r="D85" s="167" t="inlineStr">
        <is>
          <t>Sí</t>
        </is>
      </c>
      <c r="E85" s="164" t="n">
        <v>1</v>
      </c>
      <c r="F85" s="165" t="n"/>
    </row>
    <row r="86">
      <c r="A86" s="64" t="inlineStr">
        <is>
          <t>ART-run_01-SEG-S3</t>
        </is>
      </c>
      <c r="B86" s="64" t="inlineStr">
        <is>
          <t>Seguimiento</t>
        </is>
      </c>
      <c r="C86" s="166" t="inlineStr">
        <is>
          <t>Valoración del cumplimiento por HU (completada/parcial/no) *</t>
        </is>
      </c>
      <c r="D86" s="167" t="inlineStr">
        <is>
          <t>Sí</t>
        </is>
      </c>
      <c r="E86" s="164" t="n">
        <v>1</v>
      </c>
      <c r="F86" s="165" t="n"/>
    </row>
    <row r="87">
      <c r="A87" s="64" t="inlineStr">
        <is>
          <t>ART-run_01-SEG-S3</t>
        </is>
      </c>
      <c r="B87" s="64" t="inlineStr">
        <is>
          <t>Seguimiento</t>
        </is>
      </c>
      <c r="C87" s="166" t="inlineStr">
        <is>
          <t>Listado de entregables efectivamente producidos *</t>
        </is>
      </c>
      <c r="D87" s="167" t="inlineStr">
        <is>
          <t>Sí</t>
        </is>
      </c>
      <c r="E87" s="164" t="n">
        <v>1</v>
      </c>
      <c r="F87" s="165" t="n"/>
    </row>
    <row r="88">
      <c r="A88" s="64" t="inlineStr">
        <is>
          <t>ART-run_01-SEG-S3</t>
        </is>
      </c>
      <c r="B88" s="64" t="inlineStr">
        <is>
          <t>Seguimiento</t>
        </is>
      </c>
      <c r="C88" s="166" t="inlineStr">
        <is>
          <t>Registro de incidencias detectadas *</t>
        </is>
      </c>
      <c r="D88" s="167" t="inlineStr">
        <is>
          <t>Sí</t>
        </is>
      </c>
      <c r="E88" s="164" t="n">
        <v>1</v>
      </c>
      <c r="F88" s="165" t="n"/>
    </row>
    <row r="89">
      <c r="A89" s="64" t="inlineStr">
        <is>
          <t>ART-run_01-SEG-S3</t>
        </is>
      </c>
      <c r="B89" s="64" t="inlineStr">
        <is>
          <t>Seguimiento</t>
        </is>
      </c>
      <c r="C89" s="166" t="inlineStr">
        <is>
          <t>Observaciones sobre funcionamiento del proceso</t>
        </is>
      </c>
      <c r="D89" s="167" t="inlineStr">
        <is>
          <t>No</t>
        </is>
      </c>
      <c r="E89" s="164" t="n">
        <v>1</v>
      </c>
      <c r="F89" s="165" t="n"/>
    </row>
    <row r="90">
      <c r="A90" s="64" t="inlineStr">
        <is>
          <t>ART-run_01-SEG-S3</t>
        </is>
      </c>
      <c r="B90" s="64" t="inlineStr">
        <is>
          <t>Seguimiento</t>
        </is>
      </c>
      <c r="C90" s="166" t="inlineStr">
        <is>
          <t>Ajustes propuestos para sprint siguiente</t>
        </is>
      </c>
      <c r="D90" s="167" t="inlineStr">
        <is>
          <t>No</t>
        </is>
      </c>
      <c r="E90" s="164" t="n">
        <v>0</v>
      </c>
      <c r="F90" s="165" t="n"/>
    </row>
    <row r="91">
      <c r="A91" s="64" t="inlineStr">
        <is>
          <t>ART-run_01-CIE</t>
        </is>
      </c>
      <c r="B91" s="64" t="inlineStr">
        <is>
          <t>Cierre</t>
        </is>
      </c>
      <c r="C91" s="166" t="inlineStr">
        <is>
          <t>Resultado global del proyecto/ejecución *</t>
        </is>
      </c>
      <c r="D91" s="167" t="inlineStr">
        <is>
          <t>Sí</t>
        </is>
      </c>
      <c r="E91" s="164" t="n">
        <v>1</v>
      </c>
      <c r="F91" s="165" t="n"/>
    </row>
    <row r="92">
      <c r="A92" s="64" t="inlineStr">
        <is>
          <t>ART-run_01-CIE</t>
        </is>
      </c>
      <c r="B92" s="64" t="inlineStr">
        <is>
          <t>Cierre</t>
        </is>
      </c>
      <c r="C92" s="166" t="inlineStr">
        <is>
          <t>Síntesis de incidencias significativas *</t>
        </is>
      </c>
      <c r="D92" s="167" t="inlineStr">
        <is>
          <t>Sí</t>
        </is>
      </c>
      <c r="E92" s="164" t="n">
        <v>1</v>
      </c>
      <c r="F92" s="165" t="n"/>
    </row>
    <row r="93">
      <c r="A93" s="64" t="inlineStr">
        <is>
          <t>ART-run_01-CIE</t>
        </is>
      </c>
      <c r="B93" s="64" t="inlineStr">
        <is>
          <t>Cierre</t>
        </is>
      </c>
      <c r="C93" s="166" t="inlineStr">
        <is>
          <t>Valoración de lo que funcionó y lo que no *</t>
        </is>
      </c>
      <c r="D93" s="167" t="inlineStr">
        <is>
          <t>Sí</t>
        </is>
      </c>
      <c r="E93" s="164" t="n">
        <v>0</v>
      </c>
      <c r="F93" s="165" t="n"/>
    </row>
    <row r="94">
      <c r="A94" s="64" t="inlineStr">
        <is>
          <t>ART-run_01-CIE</t>
        </is>
      </c>
      <c r="B94" s="64" t="inlineStr">
        <is>
          <t>Cierre</t>
        </is>
      </c>
      <c r="C94" s="166" t="inlineStr">
        <is>
          <t>Registro de decisiones formales del proceso *</t>
        </is>
      </c>
      <c r="D94" s="167" t="inlineStr">
        <is>
          <t>Sí</t>
        </is>
      </c>
      <c r="E94" s="164" t="n">
        <v>0</v>
      </c>
      <c r="F94" s="165" t="n"/>
    </row>
    <row r="95">
      <c r="A95" s="64" t="inlineStr">
        <is>
          <t>ART-run_01-CIE</t>
        </is>
      </c>
      <c r="B95" s="64" t="inlineStr">
        <is>
          <t>Cierre</t>
        </is>
      </c>
      <c r="C95" s="166" t="inlineStr">
        <is>
          <t>Recomendaciones para iteraciones futuras</t>
        </is>
      </c>
      <c r="D95" s="167" t="inlineStr">
        <is>
          <t>No</t>
        </is>
      </c>
      <c r="E95" s="164" t="n">
        <v>0</v>
      </c>
      <c r="F95" s="165" t="n"/>
    </row>
    <row r="96" ht="13.8" customHeight="1" thickBot="1">
      <c r="A96" s="65" t="inlineStr">
        <is>
          <t>ART-run_01-CIE</t>
        </is>
      </c>
      <c r="B96" s="65" t="inlineStr">
        <is>
          <t>Cierre</t>
        </is>
      </c>
      <c r="C96" s="169" t="inlineStr">
        <is>
          <t>Identificación de causas raíz</t>
        </is>
      </c>
      <c r="D96" s="170" t="inlineStr">
        <is>
          <t>No</t>
        </is>
      </c>
      <c r="E96" s="171" t="n">
        <v>0</v>
      </c>
      <c r="F96" s="172" t="n"/>
    </row>
    <row r="97">
      <c r="A97" s="173" t="inlineStr">
        <is>
          <t>ART-run_02-REQ</t>
        </is>
      </c>
      <c r="B97" s="173" t="inlineStr">
        <is>
          <t>Requisitos</t>
        </is>
      </c>
      <c r="C97" s="174" t="inlineStr">
        <is>
          <t>Declaración de propósito / brief de referencia *</t>
        </is>
      </c>
      <c r="D97" s="175" t="inlineStr">
        <is>
          <t>Sí</t>
        </is>
      </c>
      <c r="E97" s="176" t="n">
        <v>1</v>
      </c>
      <c r="F97" s="177" t="n"/>
    </row>
    <row r="98">
      <c r="A98" s="64" t="inlineStr">
        <is>
          <t>ART-run_02-REQ</t>
        </is>
      </c>
      <c r="B98" s="64" t="inlineStr">
        <is>
          <t>Requisitos</t>
        </is>
      </c>
      <c r="C98" s="166" t="inlineStr">
        <is>
          <t>Conjunto de RF con ID, descripción y prioridad *</t>
        </is>
      </c>
      <c r="D98" s="167" t="inlineStr">
        <is>
          <t>Sí</t>
        </is>
      </c>
      <c r="E98" s="164" t="n">
        <v>1</v>
      </c>
      <c r="F98" s="165" t="n"/>
    </row>
    <row r="99">
      <c r="A99" s="64" t="inlineStr">
        <is>
          <t>ART-run_02-REQ</t>
        </is>
      </c>
      <c r="B99" s="64" t="inlineStr">
        <is>
          <t>Requisitos</t>
        </is>
      </c>
      <c r="C99" s="166" t="inlineStr">
        <is>
          <t>Conjunto de RNF con misma estructura *</t>
        </is>
      </c>
      <c r="D99" s="167" t="inlineStr">
        <is>
          <t>Sí</t>
        </is>
      </c>
      <c r="E99" s="164" t="n">
        <v>1</v>
      </c>
      <c r="F99" s="165" t="n"/>
    </row>
    <row r="100">
      <c r="A100" s="64" t="inlineStr">
        <is>
          <t>ART-run_02-REQ</t>
        </is>
      </c>
      <c r="B100" s="64" t="inlineStr">
        <is>
          <t>Requisitos</t>
        </is>
      </c>
      <c r="C100" s="166" t="inlineStr">
        <is>
          <t>Cobertura mínima de funciones críticas del brief (auth/cat/reserva/admin) *</t>
        </is>
      </c>
      <c r="D100" s="167" t="inlineStr">
        <is>
          <t>Sí</t>
        </is>
      </c>
      <c r="E100" s="164" t="n">
        <v>1</v>
      </c>
      <c r="F100" s="165" t="n"/>
    </row>
    <row r="101">
      <c r="A101" s="64" t="inlineStr">
        <is>
          <t>ART-run_02-REQ</t>
        </is>
      </c>
      <c r="B101" s="64" t="inlineStr">
        <is>
          <t>Requisitos</t>
        </is>
      </c>
      <c r="C101" s="166" t="inlineStr">
        <is>
          <t>Declaración explícita de exclusiones</t>
        </is>
      </c>
      <c r="D101" s="167" t="inlineStr">
        <is>
          <t>No</t>
        </is>
      </c>
      <c r="E101" s="164" t="n">
        <v>0</v>
      </c>
      <c r="F101" s="165" t="n"/>
    </row>
    <row r="102">
      <c r="A102" s="64" t="inlineStr">
        <is>
          <t>ART-run_02-REQ</t>
        </is>
      </c>
      <c r="B102" s="64" t="inlineStr">
        <is>
          <t>Requisitos</t>
        </is>
      </c>
      <c r="C102" s="166" t="inlineStr">
        <is>
          <t>Registro de supuestos y restricciones</t>
        </is>
      </c>
      <c r="D102" s="167" t="inlineStr">
        <is>
          <t>No</t>
        </is>
      </c>
      <c r="E102" s="164" t="n">
        <v>0</v>
      </c>
      <c r="F102" s="165" t="n"/>
    </row>
    <row r="103">
      <c r="A103" s="64" t="inlineStr">
        <is>
          <t>ART-run_02-REQ</t>
        </is>
      </c>
      <c r="B103" s="64" t="inlineStr">
        <is>
          <t>Requisitos</t>
        </is>
      </c>
      <c r="C103" s="166" t="inlineStr">
        <is>
          <t>Criterios genéricos de aceptación a nivel de proyecto</t>
        </is>
      </c>
      <c r="D103" s="167" t="inlineStr">
        <is>
          <t>No</t>
        </is>
      </c>
      <c r="E103" s="164" t="n">
        <v>0</v>
      </c>
      <c r="F103" s="165" t="n"/>
    </row>
    <row r="104">
      <c r="A104" s="64" t="inlineStr">
        <is>
          <t>ART-run_02-PLAN</t>
        </is>
      </c>
      <c r="B104" s="64" t="inlineStr">
        <is>
          <t>Planificación</t>
        </is>
      </c>
      <c r="C104" s="166" t="inlineStr">
        <is>
          <t>Descomposición del alcance en HU con ID/descripción/prioridad *</t>
        </is>
      </c>
      <c r="D104" s="167" t="inlineStr">
        <is>
          <t>Sí</t>
        </is>
      </c>
      <c r="E104" s="164" t="n">
        <v>1</v>
      </c>
      <c r="F104" s="165" t="n"/>
    </row>
    <row r="105">
      <c r="A105" s="64" t="inlineStr">
        <is>
          <t>ART-run_02-PLAN</t>
        </is>
      </c>
      <c r="B105" s="64" t="inlineStr">
        <is>
          <t>Planificación</t>
        </is>
      </c>
      <c r="C105" s="166" t="inlineStr">
        <is>
          <t>Asignación de HU a sprints con objetivo declarado *</t>
        </is>
      </c>
      <c r="D105" s="167" t="inlineStr">
        <is>
          <t>Sí</t>
        </is>
      </c>
      <c r="E105" s="164" t="n">
        <v>1</v>
      </c>
      <c r="F105" s="165" t="n"/>
    </row>
    <row r="106">
      <c r="A106" s="64" t="inlineStr">
        <is>
          <t>ART-run_02-PLAN</t>
        </is>
      </c>
      <c r="B106" s="64" t="inlineStr">
        <is>
          <t>Planificación</t>
        </is>
      </c>
      <c r="C106" s="166" t="inlineStr">
        <is>
          <t>Entregable verificable por sprint *</t>
        </is>
      </c>
      <c r="D106" s="167" t="inlineStr">
        <is>
          <t>Sí</t>
        </is>
      </c>
      <c r="E106" s="164" t="n">
        <v>1</v>
      </c>
      <c r="F106" s="165" t="n"/>
    </row>
    <row r="107">
      <c r="A107" s="64" t="inlineStr">
        <is>
          <t>ART-run_02-PLAN</t>
        </is>
      </c>
      <c r="B107" s="64" t="inlineStr">
        <is>
          <t>Planificación</t>
        </is>
      </c>
      <c r="C107" s="166" t="inlineStr">
        <is>
          <t>Estimación de esfuerzo por HU *</t>
        </is>
      </c>
      <c r="D107" s="167" t="inlineStr">
        <is>
          <t>Sí</t>
        </is>
      </c>
      <c r="E107" s="164" t="n">
        <v>0</v>
      </c>
      <c r="F107" s="165" t="n"/>
    </row>
    <row r="108">
      <c r="A108" s="64" t="inlineStr">
        <is>
          <t>ART-run_02-PLAN</t>
        </is>
      </c>
      <c r="B108" s="64" t="inlineStr">
        <is>
          <t>Planificación</t>
        </is>
      </c>
      <c r="C108" s="166" t="inlineStr">
        <is>
          <t>Registro de riesgos con probabilidad/impacto/mitigación *</t>
        </is>
      </c>
      <c r="D108" s="167" t="inlineStr">
        <is>
          <t>Sí</t>
        </is>
      </c>
      <c r="E108" s="164" t="n">
        <v>1</v>
      </c>
      <c r="F108" s="165" t="n"/>
    </row>
    <row r="109">
      <c r="A109" s="64" t="inlineStr">
        <is>
          <t>ART-run_02-PLAN</t>
        </is>
      </c>
      <c r="B109" s="64" t="inlineStr">
        <is>
          <t>Planificación</t>
        </is>
      </c>
      <c r="C109" s="166" t="inlineStr">
        <is>
          <t>Criterios de aceptación por HU</t>
        </is>
      </c>
      <c r="D109" s="167" t="inlineStr">
        <is>
          <t>No</t>
        </is>
      </c>
      <c r="E109" s="164" t="n">
        <v>1</v>
      </c>
      <c r="F109" s="165" t="n"/>
    </row>
    <row r="110">
      <c r="A110" s="64" t="inlineStr">
        <is>
          <t>ART-run_02-PLAN</t>
        </is>
      </c>
      <c r="B110" s="64" t="inlineStr">
        <is>
          <t>Planificación</t>
        </is>
      </c>
      <c r="C110" s="166" t="inlineStr">
        <is>
          <t>Dependencias entre HU</t>
        </is>
      </c>
      <c r="D110" s="167" t="inlineStr">
        <is>
          <t>No</t>
        </is>
      </c>
      <c r="E110" s="164" t="n">
        <v>1</v>
      </c>
      <c r="F110" s="165" t="n"/>
    </row>
    <row r="111">
      <c r="A111" s="64" t="inlineStr">
        <is>
          <t>ART-run_02-PLAN</t>
        </is>
      </c>
      <c r="B111" s="64" t="inlineStr">
        <is>
          <t>Planificación</t>
        </is>
      </c>
      <c r="C111" s="166" t="inlineStr">
        <is>
          <t>Supuestos de capacidad del equipo</t>
        </is>
      </c>
      <c r="D111" s="167" t="inlineStr">
        <is>
          <t>No</t>
        </is>
      </c>
      <c r="E111" s="164" t="n">
        <v>0</v>
      </c>
      <c r="F111" s="165" t="n"/>
    </row>
    <row r="112">
      <c r="A112" s="64" t="inlineStr">
        <is>
          <t>ART-run_02-DIS</t>
        </is>
      </c>
      <c r="B112" s="64" t="inlineStr">
        <is>
          <t>Diseño técnico</t>
        </is>
      </c>
      <c r="C112" s="166" t="inlineStr">
        <is>
          <t>Declaración del stack tecnológico *</t>
        </is>
      </c>
      <c r="D112" s="167" t="inlineStr">
        <is>
          <t>Sí</t>
        </is>
      </c>
      <c r="E112" s="164" t="n">
        <v>1</v>
      </c>
      <c r="F112" s="165" t="n"/>
    </row>
    <row r="113">
      <c r="A113" s="64" t="inlineStr">
        <is>
          <t>ART-run_02-DIS</t>
        </is>
      </c>
      <c r="B113" s="64" t="inlineStr">
        <is>
          <t>Diseño técnico</t>
        </is>
      </c>
      <c r="C113" s="166" t="inlineStr">
        <is>
          <t>Inventario de módulos/apps con propósito *</t>
        </is>
      </c>
      <c r="D113" s="167" t="inlineStr">
        <is>
          <t>Sí</t>
        </is>
      </c>
      <c r="E113" s="164" t="n">
        <v>1</v>
      </c>
      <c r="F113" s="165" t="n"/>
    </row>
    <row r="114">
      <c r="A114" s="64" t="inlineStr">
        <is>
          <t>ART-run_02-DIS</t>
        </is>
      </c>
      <c r="B114" s="64" t="inlineStr">
        <is>
          <t>Diseño técnico</t>
        </is>
      </c>
      <c r="C114" s="166" t="inlineStr">
        <is>
          <t>Modelo de datos básico (entidades + relaciones) *</t>
        </is>
      </c>
      <c r="D114" s="167" t="inlineStr">
        <is>
          <t>Sí</t>
        </is>
      </c>
      <c r="E114" s="164" t="n">
        <v>1</v>
      </c>
      <c r="F114" s="165" t="n"/>
    </row>
    <row r="115">
      <c r="A115" s="64" t="inlineStr">
        <is>
          <t>ART-run_02-DIS</t>
        </is>
      </c>
      <c r="B115" s="64" t="inlineStr">
        <is>
          <t>Diseño técnico</t>
        </is>
      </c>
      <c r="C115" s="166" t="inlineStr">
        <is>
          <t>Identificación de archivos principales por módulo *</t>
        </is>
      </c>
      <c r="D115" s="167" t="inlineStr">
        <is>
          <t>Sí</t>
        </is>
      </c>
      <c r="E115" s="164" t="n">
        <v>1</v>
      </c>
      <c r="F115" s="165" t="n"/>
    </row>
    <row r="116">
      <c r="A116" s="64" t="inlineStr">
        <is>
          <t>ART-run_02-DIS</t>
        </is>
      </c>
      <c r="B116" s="64" t="inlineStr">
        <is>
          <t>Diseño técnico</t>
        </is>
      </c>
      <c r="C116" s="166" t="inlineStr">
        <is>
          <t>Decisiones de configuración relevantes</t>
        </is>
      </c>
      <c r="D116" s="167" t="inlineStr">
        <is>
          <t>No</t>
        </is>
      </c>
      <c r="E116" s="164" t="n">
        <v>1</v>
      </c>
      <c r="F116" s="165" t="n"/>
    </row>
    <row r="117">
      <c r="A117" s="64" t="inlineStr">
        <is>
          <t>ART-run_02-DIS</t>
        </is>
      </c>
      <c r="B117" s="64" t="inlineStr">
        <is>
          <t>Diseño técnico</t>
        </is>
      </c>
      <c r="C117" s="166" t="inlineStr">
        <is>
          <t>Declaración de dependencias entre módulos</t>
        </is>
      </c>
      <c r="D117" s="167" t="inlineStr">
        <is>
          <t>No</t>
        </is>
      </c>
      <c r="E117" s="164" t="n">
        <v>0</v>
      </c>
      <c r="F117" s="165" t="n"/>
    </row>
    <row r="118">
      <c r="A118" s="64" t="inlineStr">
        <is>
          <t>ART-run_02-DIS</t>
        </is>
      </c>
      <c r="B118" s="64" t="inlineStr">
        <is>
          <t>Diseño técnico</t>
        </is>
      </c>
      <c r="C118" s="166" t="inlineStr">
        <is>
          <t>Supuestos sobre entorno de despliegue</t>
        </is>
      </c>
      <c r="D118" s="167" t="inlineStr">
        <is>
          <t>No</t>
        </is>
      </c>
      <c r="E118" s="164" t="n">
        <v>0</v>
      </c>
      <c r="F118" s="165" t="n"/>
    </row>
    <row r="119">
      <c r="A119" s="64" t="inlineStr">
        <is>
          <t>ART-run_02-SEG-S1</t>
        </is>
      </c>
      <c r="B119" s="64" t="inlineStr">
        <is>
          <t>Seguimiento</t>
        </is>
      </c>
      <c r="C119" s="166" t="inlineStr">
        <is>
          <t>Identificación del sprint y HU planificadas *</t>
        </is>
      </c>
      <c r="D119" s="167" t="inlineStr">
        <is>
          <t>Sí</t>
        </is>
      </c>
      <c r="E119" s="164" t="n">
        <v>1</v>
      </c>
      <c r="F119" s="165" t="n"/>
    </row>
    <row r="120">
      <c r="A120" s="64" t="inlineStr">
        <is>
          <t>ART-run_02-SEG-S1</t>
        </is>
      </c>
      <c r="B120" s="64" t="inlineStr">
        <is>
          <t>Seguimiento</t>
        </is>
      </c>
      <c r="C120" s="166" t="inlineStr">
        <is>
          <t>Valoración del cumplimiento por HU (completada/parcial/no) *</t>
        </is>
      </c>
      <c r="D120" s="167" t="inlineStr">
        <is>
          <t>Sí</t>
        </is>
      </c>
      <c r="E120" s="164" t="n">
        <v>1</v>
      </c>
      <c r="F120" s="165" t="n"/>
    </row>
    <row r="121">
      <c r="A121" s="64" t="inlineStr">
        <is>
          <t>ART-run_02-SEG-S1</t>
        </is>
      </c>
      <c r="B121" s="64" t="inlineStr">
        <is>
          <t>Seguimiento</t>
        </is>
      </c>
      <c r="C121" s="166" t="inlineStr">
        <is>
          <t>Listado de entregables efectivamente producidos *</t>
        </is>
      </c>
      <c r="D121" s="167" t="inlineStr">
        <is>
          <t>Sí</t>
        </is>
      </c>
      <c r="E121" s="164" t="n">
        <v>1</v>
      </c>
      <c r="F121" s="165" t="n"/>
    </row>
    <row r="122">
      <c r="A122" s="64" t="inlineStr">
        <is>
          <t>ART-run_02-SEG-S1</t>
        </is>
      </c>
      <c r="B122" s="64" t="inlineStr">
        <is>
          <t>Seguimiento</t>
        </is>
      </c>
      <c r="C122" s="166" t="inlineStr">
        <is>
          <t>Registro de incidencias detectadas *</t>
        </is>
      </c>
      <c r="D122" s="167" t="inlineStr">
        <is>
          <t>Sí</t>
        </is>
      </c>
      <c r="E122" s="164" t="n">
        <v>1</v>
      </c>
      <c r="F122" s="165" t="n"/>
    </row>
    <row r="123">
      <c r="A123" s="64" t="inlineStr">
        <is>
          <t>ART-run_02-SEG-S1</t>
        </is>
      </c>
      <c r="B123" s="64" t="inlineStr">
        <is>
          <t>Seguimiento</t>
        </is>
      </c>
      <c r="C123" s="166" t="inlineStr">
        <is>
          <t>Observaciones sobre funcionamiento del proceso</t>
        </is>
      </c>
      <c r="D123" s="167" t="inlineStr">
        <is>
          <t>No</t>
        </is>
      </c>
      <c r="E123" s="164" t="n">
        <v>1</v>
      </c>
      <c r="F123" s="165" t="n"/>
    </row>
    <row r="124">
      <c r="A124" s="64" t="inlineStr">
        <is>
          <t>ART-run_02-SEG-S1</t>
        </is>
      </c>
      <c r="B124" s="64" t="inlineStr">
        <is>
          <t>Seguimiento</t>
        </is>
      </c>
      <c r="C124" s="166" t="inlineStr">
        <is>
          <t>Ajustes propuestos para sprint siguiente</t>
        </is>
      </c>
      <c r="D124" s="167" t="inlineStr">
        <is>
          <t>No</t>
        </is>
      </c>
      <c r="E124" s="164" t="n">
        <v>1</v>
      </c>
      <c r="F124" s="165" t="n"/>
    </row>
    <row r="125">
      <c r="A125" s="64" t="inlineStr">
        <is>
          <t>ART-run_02-SEG-S2</t>
        </is>
      </c>
      <c r="B125" s="64" t="inlineStr">
        <is>
          <t>Seguimiento</t>
        </is>
      </c>
      <c r="C125" s="166" t="inlineStr">
        <is>
          <t>Identificación del sprint y HU planificadas *</t>
        </is>
      </c>
      <c r="D125" s="167" t="inlineStr">
        <is>
          <t>Sí</t>
        </is>
      </c>
      <c r="E125" s="164" t="n">
        <v>1</v>
      </c>
      <c r="F125" s="165" t="n"/>
    </row>
    <row r="126">
      <c r="A126" s="64" t="inlineStr">
        <is>
          <t>ART-run_02-SEG-S2</t>
        </is>
      </c>
      <c r="B126" s="64" t="inlineStr">
        <is>
          <t>Seguimiento</t>
        </is>
      </c>
      <c r="C126" s="166" t="inlineStr">
        <is>
          <t>Valoración del cumplimiento por HU (completada/parcial/no) *</t>
        </is>
      </c>
      <c r="D126" s="167" t="inlineStr">
        <is>
          <t>Sí</t>
        </is>
      </c>
      <c r="E126" s="164" t="n">
        <v>1</v>
      </c>
      <c r="F126" s="165" t="n"/>
    </row>
    <row r="127">
      <c r="A127" s="64" t="inlineStr">
        <is>
          <t>ART-run_02-SEG-S2</t>
        </is>
      </c>
      <c r="B127" s="64" t="inlineStr">
        <is>
          <t>Seguimiento</t>
        </is>
      </c>
      <c r="C127" s="166" t="inlineStr">
        <is>
          <t>Listado de entregables efectivamente producidos *</t>
        </is>
      </c>
      <c r="D127" s="167" t="inlineStr">
        <is>
          <t>Sí</t>
        </is>
      </c>
      <c r="E127" s="164" t="n">
        <v>1</v>
      </c>
      <c r="F127" s="165" t="n"/>
    </row>
    <row r="128">
      <c r="A128" s="64" t="inlineStr">
        <is>
          <t>ART-run_02-SEG-S2</t>
        </is>
      </c>
      <c r="B128" s="64" t="inlineStr">
        <is>
          <t>Seguimiento</t>
        </is>
      </c>
      <c r="C128" s="166" t="inlineStr">
        <is>
          <t>Registro de incidencias detectadas *</t>
        </is>
      </c>
      <c r="D128" s="167" t="inlineStr">
        <is>
          <t>Sí</t>
        </is>
      </c>
      <c r="E128" s="164" t="n">
        <v>1</v>
      </c>
      <c r="F128" s="165" t="n"/>
    </row>
    <row r="129">
      <c r="A129" s="64" t="inlineStr">
        <is>
          <t>ART-run_02-SEG-S2</t>
        </is>
      </c>
      <c r="B129" s="64" t="inlineStr">
        <is>
          <t>Seguimiento</t>
        </is>
      </c>
      <c r="C129" s="166" t="inlineStr">
        <is>
          <t>Observaciones sobre funcionamiento del proceso</t>
        </is>
      </c>
      <c r="D129" s="167" t="inlineStr">
        <is>
          <t>No</t>
        </is>
      </c>
      <c r="E129" s="164" t="n">
        <v>1</v>
      </c>
      <c r="F129" s="165" t="n"/>
    </row>
    <row r="130">
      <c r="A130" s="64" t="inlineStr">
        <is>
          <t>ART-run_02-SEG-S2</t>
        </is>
      </c>
      <c r="B130" s="64" t="inlineStr">
        <is>
          <t>Seguimiento</t>
        </is>
      </c>
      <c r="C130" s="166" t="inlineStr">
        <is>
          <t>Ajustes propuestos para sprint siguiente</t>
        </is>
      </c>
      <c r="D130" s="167" t="inlineStr">
        <is>
          <t>No</t>
        </is>
      </c>
      <c r="E130" s="164" t="n">
        <v>0</v>
      </c>
      <c r="F130" s="165" t="n"/>
    </row>
    <row r="131">
      <c r="A131" s="64" t="inlineStr">
        <is>
          <t>ART-run_02-SEG-S3</t>
        </is>
      </c>
      <c r="B131" s="64" t="inlineStr">
        <is>
          <t>Seguimiento</t>
        </is>
      </c>
      <c r="C131" s="166" t="inlineStr">
        <is>
          <t>Identificación del sprint y HU planificadas *</t>
        </is>
      </c>
      <c r="D131" s="167" t="inlineStr">
        <is>
          <t>Sí</t>
        </is>
      </c>
      <c r="E131" s="164" t="n">
        <v>1</v>
      </c>
      <c r="F131" s="165" t="n"/>
    </row>
    <row r="132">
      <c r="A132" s="64" t="inlineStr">
        <is>
          <t>ART-run_02-SEG-S3</t>
        </is>
      </c>
      <c r="B132" s="64" t="inlineStr">
        <is>
          <t>Seguimiento</t>
        </is>
      </c>
      <c r="C132" s="166" t="inlineStr">
        <is>
          <t>Valoración del cumplimiento por HU (completada/parcial/no) *</t>
        </is>
      </c>
      <c r="D132" s="167" t="inlineStr">
        <is>
          <t>Sí</t>
        </is>
      </c>
      <c r="E132" s="164" t="n">
        <v>1</v>
      </c>
      <c r="F132" s="165" t="n"/>
    </row>
    <row r="133">
      <c r="A133" s="64" t="inlineStr">
        <is>
          <t>ART-run_02-SEG-S3</t>
        </is>
      </c>
      <c r="B133" s="64" t="inlineStr">
        <is>
          <t>Seguimiento</t>
        </is>
      </c>
      <c r="C133" s="166" t="inlineStr">
        <is>
          <t>Listado de entregables efectivamente producidos *</t>
        </is>
      </c>
      <c r="D133" s="167" t="inlineStr">
        <is>
          <t>Sí</t>
        </is>
      </c>
      <c r="E133" s="164" t="n">
        <v>1</v>
      </c>
      <c r="F133" s="165" t="n"/>
    </row>
    <row r="134">
      <c r="A134" s="64" t="inlineStr">
        <is>
          <t>ART-run_02-SEG-S3</t>
        </is>
      </c>
      <c r="B134" s="64" t="inlineStr">
        <is>
          <t>Seguimiento</t>
        </is>
      </c>
      <c r="C134" s="166" t="inlineStr">
        <is>
          <t>Registro de incidencias detectadas *</t>
        </is>
      </c>
      <c r="D134" s="167" t="inlineStr">
        <is>
          <t>Sí</t>
        </is>
      </c>
      <c r="E134" s="164" t="n">
        <v>1</v>
      </c>
      <c r="F134" s="165" t="n"/>
    </row>
    <row r="135">
      <c r="A135" s="64" t="inlineStr">
        <is>
          <t>ART-run_02-SEG-S3</t>
        </is>
      </c>
      <c r="B135" s="64" t="inlineStr">
        <is>
          <t>Seguimiento</t>
        </is>
      </c>
      <c r="C135" s="166" t="inlineStr">
        <is>
          <t>Observaciones sobre funcionamiento del proceso</t>
        </is>
      </c>
      <c r="D135" s="167" t="inlineStr">
        <is>
          <t>No</t>
        </is>
      </c>
      <c r="E135" s="164" t="n">
        <v>1</v>
      </c>
      <c r="F135" s="165" t="n"/>
    </row>
    <row r="136">
      <c r="A136" s="64" t="inlineStr">
        <is>
          <t>ART-run_02-SEG-S3</t>
        </is>
      </c>
      <c r="B136" s="64" t="inlineStr">
        <is>
          <t>Seguimiento</t>
        </is>
      </c>
      <c r="C136" s="166" t="inlineStr">
        <is>
          <t>Ajustes propuestos para sprint siguiente</t>
        </is>
      </c>
      <c r="D136" s="167" t="inlineStr">
        <is>
          <t>No</t>
        </is>
      </c>
      <c r="E136" s="164" t="n">
        <v>0</v>
      </c>
      <c r="F136" s="165" t="n"/>
    </row>
    <row r="137">
      <c r="A137" s="64" t="inlineStr">
        <is>
          <t>ART-run_02-CIE</t>
        </is>
      </c>
      <c r="B137" s="64" t="inlineStr">
        <is>
          <t>Cierre</t>
        </is>
      </c>
      <c r="C137" s="166" t="inlineStr">
        <is>
          <t>Resultado global del proyecto/ejecución *</t>
        </is>
      </c>
      <c r="D137" s="167" t="inlineStr">
        <is>
          <t>Sí</t>
        </is>
      </c>
      <c r="E137" s="164" t="n">
        <v>1</v>
      </c>
      <c r="F137" s="165" t="n"/>
    </row>
    <row r="138">
      <c r="A138" s="64" t="inlineStr">
        <is>
          <t>ART-run_02-CIE</t>
        </is>
      </c>
      <c r="B138" s="64" t="inlineStr">
        <is>
          <t>Cierre</t>
        </is>
      </c>
      <c r="C138" s="166" t="inlineStr">
        <is>
          <t>Síntesis de incidencias significativas *</t>
        </is>
      </c>
      <c r="D138" s="167" t="inlineStr">
        <is>
          <t>Sí</t>
        </is>
      </c>
      <c r="E138" s="164" t="n">
        <v>1</v>
      </c>
      <c r="F138" s="165" t="n"/>
    </row>
    <row r="139">
      <c r="A139" s="64" t="inlineStr">
        <is>
          <t>ART-run_02-CIE</t>
        </is>
      </c>
      <c r="B139" s="64" t="inlineStr">
        <is>
          <t>Cierre</t>
        </is>
      </c>
      <c r="C139" s="166" t="inlineStr">
        <is>
          <t>Valoración de lo que funcionó y lo que no *</t>
        </is>
      </c>
      <c r="D139" s="167" t="inlineStr">
        <is>
          <t>Sí</t>
        </is>
      </c>
      <c r="E139" s="164" t="n">
        <v>0</v>
      </c>
      <c r="F139" s="165" t="n"/>
    </row>
    <row r="140">
      <c r="A140" s="64" t="inlineStr">
        <is>
          <t>ART-run_02-CIE</t>
        </is>
      </c>
      <c r="B140" s="64" t="inlineStr">
        <is>
          <t>Cierre</t>
        </is>
      </c>
      <c r="C140" s="166" t="inlineStr">
        <is>
          <t>Registro de decisiones formales del proceso *</t>
        </is>
      </c>
      <c r="D140" s="167" t="inlineStr">
        <is>
          <t>Sí</t>
        </is>
      </c>
      <c r="E140" s="164" t="n">
        <v>0</v>
      </c>
      <c r="F140" s="165" t="n"/>
    </row>
    <row r="141">
      <c r="A141" s="64" t="inlineStr">
        <is>
          <t>ART-run_02-CIE</t>
        </is>
      </c>
      <c r="B141" s="64" t="inlineStr">
        <is>
          <t>Cierre</t>
        </is>
      </c>
      <c r="C141" s="166" t="inlineStr">
        <is>
          <t>Recomendaciones para iteraciones futuras</t>
        </is>
      </c>
      <c r="D141" s="167" t="inlineStr">
        <is>
          <t>No</t>
        </is>
      </c>
      <c r="E141" s="164" t="n">
        <v>0</v>
      </c>
      <c r="F141" s="165" t="n"/>
    </row>
    <row r="142" ht="13.8" customHeight="1" thickBot="1">
      <c r="A142" s="65" t="inlineStr">
        <is>
          <t>ART-run_02-CIE</t>
        </is>
      </c>
      <c r="B142" s="65" t="inlineStr">
        <is>
          <t>Cierre</t>
        </is>
      </c>
      <c r="C142" s="169" t="inlineStr">
        <is>
          <t>Identificación de causas raíz</t>
        </is>
      </c>
      <c r="D142" s="170" t="inlineStr">
        <is>
          <t>No</t>
        </is>
      </c>
      <c r="E142" s="171" t="n">
        <v>0</v>
      </c>
      <c r="F142" s="172" t="n"/>
    </row>
    <row r="143">
      <c r="A143" s="173" t="inlineStr">
        <is>
          <t>ART-run_03-REQ</t>
        </is>
      </c>
      <c r="B143" s="173" t="inlineStr">
        <is>
          <t>Requisitos</t>
        </is>
      </c>
      <c r="C143" s="174" t="inlineStr">
        <is>
          <t>Declaración de propósito / brief de referencia *</t>
        </is>
      </c>
      <c r="D143" s="175" t="inlineStr">
        <is>
          <t>Sí</t>
        </is>
      </c>
      <c r="E143" s="176" t="n">
        <v>1</v>
      </c>
      <c r="F143" s="177" t="n"/>
    </row>
    <row r="144">
      <c r="A144" s="64" t="inlineStr">
        <is>
          <t>ART-run_03-REQ</t>
        </is>
      </c>
      <c r="B144" s="64" t="inlineStr">
        <is>
          <t>Requisitos</t>
        </is>
      </c>
      <c r="C144" s="166" t="inlineStr">
        <is>
          <t>Conjunto de RF con ID, descripción y prioridad *</t>
        </is>
      </c>
      <c r="D144" s="167" t="inlineStr">
        <is>
          <t>Sí</t>
        </is>
      </c>
      <c r="E144" s="164" t="n">
        <v>1</v>
      </c>
      <c r="F144" s="165" t="n"/>
    </row>
    <row r="145">
      <c r="A145" s="64" t="inlineStr">
        <is>
          <t>ART-run_03-REQ</t>
        </is>
      </c>
      <c r="B145" s="64" t="inlineStr">
        <is>
          <t>Requisitos</t>
        </is>
      </c>
      <c r="C145" s="166" t="inlineStr">
        <is>
          <t>Conjunto de RNF con misma estructura *</t>
        </is>
      </c>
      <c r="D145" s="167" t="inlineStr">
        <is>
          <t>Sí</t>
        </is>
      </c>
      <c r="E145" s="164" t="n">
        <v>1</v>
      </c>
      <c r="F145" s="165" t="n"/>
    </row>
    <row r="146">
      <c r="A146" s="64" t="inlineStr">
        <is>
          <t>ART-run_03-REQ</t>
        </is>
      </c>
      <c r="B146" s="64" t="inlineStr">
        <is>
          <t>Requisitos</t>
        </is>
      </c>
      <c r="C146" s="166" t="inlineStr">
        <is>
          <t>Cobertura mínima de funciones críticas del brief (auth/cat/reserva/admin) *</t>
        </is>
      </c>
      <c r="D146" s="167" t="inlineStr">
        <is>
          <t>Sí</t>
        </is>
      </c>
      <c r="E146" s="164" t="n">
        <v>1</v>
      </c>
      <c r="F146" s="165" t="n"/>
    </row>
    <row r="147">
      <c r="A147" s="64" t="inlineStr">
        <is>
          <t>ART-run_03-REQ</t>
        </is>
      </c>
      <c r="B147" s="64" t="inlineStr">
        <is>
          <t>Requisitos</t>
        </is>
      </c>
      <c r="C147" s="166" t="inlineStr">
        <is>
          <t>Declaración explícita de exclusiones</t>
        </is>
      </c>
      <c r="D147" s="167" t="inlineStr">
        <is>
          <t>No</t>
        </is>
      </c>
      <c r="E147" s="164" t="n">
        <v>0</v>
      </c>
      <c r="F147" s="165" t="n"/>
    </row>
    <row r="148">
      <c r="A148" s="64" t="inlineStr">
        <is>
          <t>ART-run_03-REQ</t>
        </is>
      </c>
      <c r="B148" s="64" t="inlineStr">
        <is>
          <t>Requisitos</t>
        </is>
      </c>
      <c r="C148" s="166" t="inlineStr">
        <is>
          <t>Registro de supuestos y restricciones</t>
        </is>
      </c>
      <c r="D148" s="167" t="inlineStr">
        <is>
          <t>No</t>
        </is>
      </c>
      <c r="E148" s="164" t="n">
        <v>0</v>
      </c>
      <c r="F148" s="165" t="n"/>
    </row>
    <row r="149">
      <c r="A149" s="64" t="inlineStr">
        <is>
          <t>ART-run_03-REQ</t>
        </is>
      </c>
      <c r="B149" s="64" t="inlineStr">
        <is>
          <t>Requisitos</t>
        </is>
      </c>
      <c r="C149" s="166" t="inlineStr">
        <is>
          <t>Criterios genéricos de aceptación a nivel de proyecto</t>
        </is>
      </c>
      <c r="D149" s="167" t="inlineStr">
        <is>
          <t>No</t>
        </is>
      </c>
      <c r="E149" s="164" t="n">
        <v>0</v>
      </c>
      <c r="F149" s="165" t="n"/>
    </row>
    <row r="150">
      <c r="A150" s="64" t="inlineStr">
        <is>
          <t>ART-run_03-PLAN</t>
        </is>
      </c>
      <c r="B150" s="64" t="inlineStr">
        <is>
          <t>Planificación</t>
        </is>
      </c>
      <c r="C150" s="166" t="inlineStr">
        <is>
          <t>Descomposición del alcance en HU con ID/descripción/prioridad *</t>
        </is>
      </c>
      <c r="D150" s="167" t="inlineStr">
        <is>
          <t>Sí</t>
        </is>
      </c>
      <c r="E150" s="164" t="n">
        <v>1</v>
      </c>
      <c r="F150" s="165" t="n"/>
    </row>
    <row r="151">
      <c r="A151" s="64" t="inlineStr">
        <is>
          <t>ART-run_03-PLAN</t>
        </is>
      </c>
      <c r="B151" s="64" t="inlineStr">
        <is>
          <t>Planificación</t>
        </is>
      </c>
      <c r="C151" s="166" t="inlineStr">
        <is>
          <t>Asignación de HU a sprints con objetivo declarado *</t>
        </is>
      </c>
      <c r="D151" s="167" t="inlineStr">
        <is>
          <t>Sí</t>
        </is>
      </c>
      <c r="E151" s="164" t="n">
        <v>1</v>
      </c>
      <c r="F151" s="165" t="n"/>
    </row>
    <row r="152">
      <c r="A152" s="64" t="inlineStr">
        <is>
          <t>ART-run_03-PLAN</t>
        </is>
      </c>
      <c r="B152" s="64" t="inlineStr">
        <is>
          <t>Planificación</t>
        </is>
      </c>
      <c r="C152" s="166" t="inlineStr">
        <is>
          <t>Entregable verificable por sprint *</t>
        </is>
      </c>
      <c r="D152" s="167" t="inlineStr">
        <is>
          <t>Sí</t>
        </is>
      </c>
      <c r="E152" s="164" t="n">
        <v>1</v>
      </c>
      <c r="F152" s="165" t="n"/>
    </row>
    <row r="153">
      <c r="A153" s="64" t="inlineStr">
        <is>
          <t>ART-run_03-PLAN</t>
        </is>
      </c>
      <c r="B153" s="64" t="inlineStr">
        <is>
          <t>Planificación</t>
        </is>
      </c>
      <c r="C153" s="166" t="inlineStr">
        <is>
          <t>Estimación de esfuerzo por HU *</t>
        </is>
      </c>
      <c r="D153" s="167" t="inlineStr">
        <is>
          <t>Sí</t>
        </is>
      </c>
      <c r="E153" s="164" t="n">
        <v>0</v>
      </c>
      <c r="F153" s="165" t="n"/>
    </row>
    <row r="154">
      <c r="A154" s="64" t="inlineStr">
        <is>
          <t>ART-run_03-PLAN</t>
        </is>
      </c>
      <c r="B154" s="64" t="inlineStr">
        <is>
          <t>Planificación</t>
        </is>
      </c>
      <c r="C154" s="166" t="inlineStr">
        <is>
          <t>Registro de riesgos con probabilidad/impacto/mitigación *</t>
        </is>
      </c>
      <c r="D154" s="167" t="inlineStr">
        <is>
          <t>Sí</t>
        </is>
      </c>
      <c r="E154" s="164" t="n">
        <v>1</v>
      </c>
      <c r="F154" s="165" t="n"/>
    </row>
    <row r="155">
      <c r="A155" s="64" t="inlineStr">
        <is>
          <t>ART-run_03-PLAN</t>
        </is>
      </c>
      <c r="B155" s="64" t="inlineStr">
        <is>
          <t>Planificación</t>
        </is>
      </c>
      <c r="C155" s="166" t="inlineStr">
        <is>
          <t>Criterios de aceptación por HU</t>
        </is>
      </c>
      <c r="D155" s="167" t="inlineStr">
        <is>
          <t>No</t>
        </is>
      </c>
      <c r="E155" s="164" t="n">
        <v>1</v>
      </c>
      <c r="F155" s="165" t="n"/>
    </row>
    <row r="156">
      <c r="A156" s="64" t="inlineStr">
        <is>
          <t>ART-run_03-PLAN</t>
        </is>
      </c>
      <c r="B156" s="64" t="inlineStr">
        <is>
          <t>Planificación</t>
        </is>
      </c>
      <c r="C156" s="166" t="inlineStr">
        <is>
          <t>Dependencias entre HU</t>
        </is>
      </c>
      <c r="D156" s="167" t="inlineStr">
        <is>
          <t>No</t>
        </is>
      </c>
      <c r="E156" s="164" t="n">
        <v>1</v>
      </c>
      <c r="F156" s="165" t="n"/>
    </row>
    <row r="157">
      <c r="A157" s="64" t="inlineStr">
        <is>
          <t>ART-run_03-PLAN</t>
        </is>
      </c>
      <c r="B157" s="64" t="inlineStr">
        <is>
          <t>Planificación</t>
        </is>
      </c>
      <c r="C157" s="166" t="inlineStr">
        <is>
          <t>Supuestos de capacidad del equipo</t>
        </is>
      </c>
      <c r="D157" s="167" t="inlineStr">
        <is>
          <t>No</t>
        </is>
      </c>
      <c r="E157" s="164" t="n">
        <v>0</v>
      </c>
      <c r="F157" s="165" t="n"/>
    </row>
    <row r="158">
      <c r="A158" s="64" t="inlineStr">
        <is>
          <t>ART-run_03-DIS</t>
        </is>
      </c>
      <c r="B158" s="64" t="inlineStr">
        <is>
          <t>Diseño técnico</t>
        </is>
      </c>
      <c r="C158" s="166" t="inlineStr">
        <is>
          <t>Declaración del stack tecnológico *</t>
        </is>
      </c>
      <c r="D158" s="167" t="inlineStr">
        <is>
          <t>Sí</t>
        </is>
      </c>
      <c r="E158" s="164" t="n">
        <v>1</v>
      </c>
      <c r="F158" s="165" t="n"/>
    </row>
    <row r="159">
      <c r="A159" s="64" t="inlineStr">
        <is>
          <t>ART-run_03-DIS</t>
        </is>
      </c>
      <c r="B159" s="64" t="inlineStr">
        <is>
          <t>Diseño técnico</t>
        </is>
      </c>
      <c r="C159" s="166" t="inlineStr">
        <is>
          <t>Inventario de módulos/apps con propósito *</t>
        </is>
      </c>
      <c r="D159" s="167" t="inlineStr">
        <is>
          <t>Sí</t>
        </is>
      </c>
      <c r="E159" s="164" t="n">
        <v>1</v>
      </c>
      <c r="F159" s="165" t="n"/>
    </row>
    <row r="160">
      <c r="A160" s="64" t="inlineStr">
        <is>
          <t>ART-run_03-DIS</t>
        </is>
      </c>
      <c r="B160" s="64" t="inlineStr">
        <is>
          <t>Diseño técnico</t>
        </is>
      </c>
      <c r="C160" s="166" t="inlineStr">
        <is>
          <t>Modelo de datos básico (entidades + relaciones) *</t>
        </is>
      </c>
      <c r="D160" s="167" t="inlineStr">
        <is>
          <t>Sí</t>
        </is>
      </c>
      <c r="E160" s="164" t="n">
        <v>1</v>
      </c>
      <c r="F160" s="165" t="n"/>
    </row>
    <row r="161">
      <c r="A161" s="64" t="inlineStr">
        <is>
          <t>ART-run_03-DIS</t>
        </is>
      </c>
      <c r="B161" s="64" t="inlineStr">
        <is>
          <t>Diseño técnico</t>
        </is>
      </c>
      <c r="C161" s="166" t="inlineStr">
        <is>
          <t>Identificación de archivos principales por módulo *</t>
        </is>
      </c>
      <c r="D161" s="167" t="inlineStr">
        <is>
          <t>Sí</t>
        </is>
      </c>
      <c r="E161" s="164" t="n">
        <v>1</v>
      </c>
      <c r="F161" s="165" t="n"/>
    </row>
    <row r="162">
      <c r="A162" s="64" t="inlineStr">
        <is>
          <t>ART-run_03-DIS</t>
        </is>
      </c>
      <c r="B162" s="64" t="inlineStr">
        <is>
          <t>Diseño técnico</t>
        </is>
      </c>
      <c r="C162" s="166" t="inlineStr">
        <is>
          <t>Decisiones de configuración relevantes</t>
        </is>
      </c>
      <c r="D162" s="167" t="inlineStr">
        <is>
          <t>No</t>
        </is>
      </c>
      <c r="E162" s="164" t="n">
        <v>1</v>
      </c>
      <c r="F162" s="165" t="n"/>
    </row>
    <row r="163">
      <c r="A163" s="64" t="inlineStr">
        <is>
          <t>ART-run_03-DIS</t>
        </is>
      </c>
      <c r="B163" s="64" t="inlineStr">
        <is>
          <t>Diseño técnico</t>
        </is>
      </c>
      <c r="C163" s="166" t="inlineStr">
        <is>
          <t>Declaración de dependencias entre módulos</t>
        </is>
      </c>
      <c r="D163" s="167" t="inlineStr">
        <is>
          <t>No</t>
        </is>
      </c>
      <c r="E163" s="164" t="n">
        <v>0</v>
      </c>
      <c r="F163" s="165" t="n"/>
    </row>
    <row r="164">
      <c r="A164" s="64" t="inlineStr">
        <is>
          <t>ART-run_03-DIS</t>
        </is>
      </c>
      <c r="B164" s="64" t="inlineStr">
        <is>
          <t>Diseño técnico</t>
        </is>
      </c>
      <c r="C164" s="166" t="inlineStr">
        <is>
          <t>Supuestos sobre entorno de despliegue</t>
        </is>
      </c>
      <c r="D164" s="167" t="inlineStr">
        <is>
          <t>No</t>
        </is>
      </c>
      <c r="E164" s="164" t="n">
        <v>0</v>
      </c>
      <c r="F164" s="165" t="n"/>
    </row>
    <row r="165">
      <c r="A165" s="64" t="inlineStr">
        <is>
          <t>ART-run_03-SEG-S1</t>
        </is>
      </c>
      <c r="B165" s="64" t="inlineStr">
        <is>
          <t>Seguimiento</t>
        </is>
      </c>
      <c r="C165" s="166" t="inlineStr">
        <is>
          <t>Identificación del sprint y HU planificadas *</t>
        </is>
      </c>
      <c r="D165" s="167" t="inlineStr">
        <is>
          <t>Sí</t>
        </is>
      </c>
      <c r="E165" s="164" t="n">
        <v>1</v>
      </c>
      <c r="F165" s="165" t="n"/>
    </row>
    <row r="166">
      <c r="A166" s="64" t="inlineStr">
        <is>
          <t>ART-run_03-SEG-S1</t>
        </is>
      </c>
      <c r="B166" s="64" t="inlineStr">
        <is>
          <t>Seguimiento</t>
        </is>
      </c>
      <c r="C166" s="166" t="inlineStr">
        <is>
          <t>Valoración del cumplimiento por HU (completada/parcial/no) *</t>
        </is>
      </c>
      <c r="D166" s="167" t="inlineStr">
        <is>
          <t>Sí</t>
        </is>
      </c>
      <c r="E166" s="164" t="n">
        <v>1</v>
      </c>
      <c r="F166" s="165" t="n"/>
    </row>
    <row r="167">
      <c r="A167" s="64" t="inlineStr">
        <is>
          <t>ART-run_03-SEG-S1</t>
        </is>
      </c>
      <c r="B167" s="64" t="inlineStr">
        <is>
          <t>Seguimiento</t>
        </is>
      </c>
      <c r="C167" s="166" t="inlineStr">
        <is>
          <t>Listado de entregables efectivamente producidos *</t>
        </is>
      </c>
      <c r="D167" s="167" t="inlineStr">
        <is>
          <t>Sí</t>
        </is>
      </c>
      <c r="E167" s="164" t="n">
        <v>1</v>
      </c>
      <c r="F167" s="165" t="n"/>
    </row>
    <row r="168">
      <c r="A168" s="64" t="inlineStr">
        <is>
          <t>ART-run_03-SEG-S1</t>
        </is>
      </c>
      <c r="B168" s="64" t="inlineStr">
        <is>
          <t>Seguimiento</t>
        </is>
      </c>
      <c r="C168" s="166" t="inlineStr">
        <is>
          <t>Registro de incidencias detectadas *</t>
        </is>
      </c>
      <c r="D168" s="167" t="inlineStr">
        <is>
          <t>Sí</t>
        </is>
      </c>
      <c r="E168" s="164" t="n">
        <v>1</v>
      </c>
      <c r="F168" s="165" t="n"/>
    </row>
    <row r="169">
      <c r="A169" s="64" t="inlineStr">
        <is>
          <t>ART-run_03-SEG-S1</t>
        </is>
      </c>
      <c r="B169" s="64" t="inlineStr">
        <is>
          <t>Seguimiento</t>
        </is>
      </c>
      <c r="C169" s="166" t="inlineStr">
        <is>
          <t>Observaciones sobre funcionamiento del proceso</t>
        </is>
      </c>
      <c r="D169" s="167" t="inlineStr">
        <is>
          <t>No</t>
        </is>
      </c>
      <c r="E169" s="164" t="n">
        <v>1</v>
      </c>
      <c r="F169" s="165" t="n"/>
    </row>
    <row r="170">
      <c r="A170" s="64" t="inlineStr">
        <is>
          <t>ART-run_03-SEG-S1</t>
        </is>
      </c>
      <c r="B170" s="64" t="inlineStr">
        <is>
          <t>Seguimiento</t>
        </is>
      </c>
      <c r="C170" s="166" t="inlineStr">
        <is>
          <t>Ajustes propuestos para sprint siguiente</t>
        </is>
      </c>
      <c r="D170" s="167" t="inlineStr">
        <is>
          <t>No</t>
        </is>
      </c>
      <c r="E170" s="164" t="n">
        <v>1</v>
      </c>
      <c r="F170" s="165" t="n"/>
    </row>
    <row r="171">
      <c r="A171" s="64" t="inlineStr">
        <is>
          <t>ART-run_03-SEG-S2</t>
        </is>
      </c>
      <c r="B171" s="64" t="inlineStr">
        <is>
          <t>Seguimiento</t>
        </is>
      </c>
      <c r="C171" s="166" t="inlineStr">
        <is>
          <t>Identificación del sprint y HU planificadas *</t>
        </is>
      </c>
      <c r="D171" s="167" t="inlineStr">
        <is>
          <t>Sí</t>
        </is>
      </c>
      <c r="E171" s="164" t="n">
        <v>1</v>
      </c>
      <c r="F171" s="165" t="n"/>
    </row>
    <row r="172">
      <c r="A172" s="64" t="inlineStr">
        <is>
          <t>ART-run_03-SEG-S2</t>
        </is>
      </c>
      <c r="B172" s="64" t="inlineStr">
        <is>
          <t>Seguimiento</t>
        </is>
      </c>
      <c r="C172" s="166" t="inlineStr">
        <is>
          <t>Valoración del cumplimiento por HU (completada/parcial/no) *</t>
        </is>
      </c>
      <c r="D172" s="167" t="inlineStr">
        <is>
          <t>Sí</t>
        </is>
      </c>
      <c r="E172" s="164" t="n">
        <v>1</v>
      </c>
      <c r="F172" s="165" t="n"/>
    </row>
    <row r="173">
      <c r="A173" s="64" t="inlineStr">
        <is>
          <t>ART-run_03-SEG-S2</t>
        </is>
      </c>
      <c r="B173" s="64" t="inlineStr">
        <is>
          <t>Seguimiento</t>
        </is>
      </c>
      <c r="C173" s="166" t="inlineStr">
        <is>
          <t>Listado de entregables efectivamente producidos *</t>
        </is>
      </c>
      <c r="D173" s="167" t="inlineStr">
        <is>
          <t>Sí</t>
        </is>
      </c>
      <c r="E173" s="164" t="n">
        <v>1</v>
      </c>
      <c r="F173" s="165" t="n"/>
    </row>
    <row r="174">
      <c r="A174" s="64" t="inlineStr">
        <is>
          <t>ART-run_03-SEG-S2</t>
        </is>
      </c>
      <c r="B174" s="64" t="inlineStr">
        <is>
          <t>Seguimiento</t>
        </is>
      </c>
      <c r="C174" s="166" t="inlineStr">
        <is>
          <t>Registro de incidencias detectadas *</t>
        </is>
      </c>
      <c r="D174" s="167" t="inlineStr">
        <is>
          <t>Sí</t>
        </is>
      </c>
      <c r="E174" s="164" t="n">
        <v>1</v>
      </c>
      <c r="F174" s="165" t="n"/>
    </row>
    <row r="175">
      <c r="A175" s="64" t="inlineStr">
        <is>
          <t>ART-run_03-SEG-S2</t>
        </is>
      </c>
      <c r="B175" s="64" t="inlineStr">
        <is>
          <t>Seguimiento</t>
        </is>
      </c>
      <c r="C175" s="166" t="inlineStr">
        <is>
          <t>Observaciones sobre funcionamiento del proceso</t>
        </is>
      </c>
      <c r="D175" s="167" t="inlineStr">
        <is>
          <t>No</t>
        </is>
      </c>
      <c r="E175" s="164" t="n">
        <v>1</v>
      </c>
      <c r="F175" s="165" t="n"/>
    </row>
    <row r="176">
      <c r="A176" s="64" t="inlineStr">
        <is>
          <t>ART-run_03-SEG-S2</t>
        </is>
      </c>
      <c r="B176" s="64" t="inlineStr">
        <is>
          <t>Seguimiento</t>
        </is>
      </c>
      <c r="C176" s="166" t="inlineStr">
        <is>
          <t>Ajustes propuestos para sprint siguiente</t>
        </is>
      </c>
      <c r="D176" s="167" t="inlineStr">
        <is>
          <t>No</t>
        </is>
      </c>
      <c r="E176" s="164" t="n">
        <v>0</v>
      </c>
      <c r="F176" s="165" t="n"/>
    </row>
    <row r="177">
      <c r="A177" s="64" t="inlineStr">
        <is>
          <t>ART-run_03-SEG-S3</t>
        </is>
      </c>
      <c r="B177" s="64" t="inlineStr">
        <is>
          <t>Seguimiento</t>
        </is>
      </c>
      <c r="C177" s="166" t="inlineStr">
        <is>
          <t>Identificación del sprint y HU planificadas *</t>
        </is>
      </c>
      <c r="D177" s="167" t="inlineStr">
        <is>
          <t>Sí</t>
        </is>
      </c>
      <c r="E177" s="164" t="n">
        <v>1</v>
      </c>
      <c r="F177" s="165" t="n"/>
    </row>
    <row r="178">
      <c r="A178" s="64" t="inlineStr">
        <is>
          <t>ART-run_03-SEG-S3</t>
        </is>
      </c>
      <c r="B178" s="64" t="inlineStr">
        <is>
          <t>Seguimiento</t>
        </is>
      </c>
      <c r="C178" s="166" t="inlineStr">
        <is>
          <t>Valoración del cumplimiento por HU (completada/parcial/no) *</t>
        </is>
      </c>
      <c r="D178" s="167" t="inlineStr">
        <is>
          <t>Sí</t>
        </is>
      </c>
      <c r="E178" s="164" t="n">
        <v>1</v>
      </c>
      <c r="F178" s="165" t="n"/>
    </row>
    <row r="179">
      <c r="A179" s="64" t="inlineStr">
        <is>
          <t>ART-run_03-SEG-S3</t>
        </is>
      </c>
      <c r="B179" s="64" t="inlineStr">
        <is>
          <t>Seguimiento</t>
        </is>
      </c>
      <c r="C179" s="166" t="inlineStr">
        <is>
          <t>Listado de entregables efectivamente producidos *</t>
        </is>
      </c>
      <c r="D179" s="167" t="inlineStr">
        <is>
          <t>Sí</t>
        </is>
      </c>
      <c r="E179" s="164" t="n">
        <v>1</v>
      </c>
      <c r="F179" s="165" t="n"/>
    </row>
    <row r="180">
      <c r="A180" s="64" t="inlineStr">
        <is>
          <t>ART-run_03-SEG-S3</t>
        </is>
      </c>
      <c r="B180" s="64" t="inlineStr">
        <is>
          <t>Seguimiento</t>
        </is>
      </c>
      <c r="C180" s="166" t="inlineStr">
        <is>
          <t>Registro de incidencias detectadas *</t>
        </is>
      </c>
      <c r="D180" s="167" t="inlineStr">
        <is>
          <t>Sí</t>
        </is>
      </c>
      <c r="E180" s="164" t="n">
        <v>1</v>
      </c>
      <c r="F180" s="165" t="n"/>
    </row>
    <row r="181">
      <c r="A181" s="64" t="inlineStr">
        <is>
          <t>ART-run_03-SEG-S3</t>
        </is>
      </c>
      <c r="B181" s="64" t="inlineStr">
        <is>
          <t>Seguimiento</t>
        </is>
      </c>
      <c r="C181" s="166" t="inlineStr">
        <is>
          <t>Observaciones sobre funcionamiento del proceso</t>
        </is>
      </c>
      <c r="D181" s="167" t="inlineStr">
        <is>
          <t>No</t>
        </is>
      </c>
      <c r="E181" s="164" t="n">
        <v>1</v>
      </c>
      <c r="F181" s="165" t="n"/>
    </row>
    <row r="182">
      <c r="A182" s="64" t="inlineStr">
        <is>
          <t>ART-run_03-SEG-S3</t>
        </is>
      </c>
      <c r="B182" s="64" t="inlineStr">
        <is>
          <t>Seguimiento</t>
        </is>
      </c>
      <c r="C182" s="166" t="inlineStr">
        <is>
          <t>Ajustes propuestos para sprint siguiente</t>
        </is>
      </c>
      <c r="D182" s="167" t="inlineStr">
        <is>
          <t>No</t>
        </is>
      </c>
      <c r="E182" s="164" t="n">
        <v>0</v>
      </c>
      <c r="F182" s="165" t="n"/>
    </row>
    <row r="183">
      <c r="A183" s="64" t="inlineStr">
        <is>
          <t>ART-run_03-CIE</t>
        </is>
      </c>
      <c r="B183" s="64" t="inlineStr">
        <is>
          <t>Cierre</t>
        </is>
      </c>
      <c r="C183" s="166" t="inlineStr">
        <is>
          <t>Resultado global del proyecto/ejecución *</t>
        </is>
      </c>
      <c r="D183" s="167" t="inlineStr">
        <is>
          <t>Sí</t>
        </is>
      </c>
      <c r="E183" s="164" t="n">
        <v>1</v>
      </c>
      <c r="F183" s="165" t="n"/>
    </row>
    <row r="184">
      <c r="A184" s="64" t="inlineStr">
        <is>
          <t>ART-run_03-CIE</t>
        </is>
      </c>
      <c r="B184" s="64" t="inlineStr">
        <is>
          <t>Cierre</t>
        </is>
      </c>
      <c r="C184" s="166" t="inlineStr">
        <is>
          <t>Síntesis de incidencias significativas *</t>
        </is>
      </c>
      <c r="D184" s="167" t="inlineStr">
        <is>
          <t>Sí</t>
        </is>
      </c>
      <c r="E184" s="164" t="n">
        <v>1</v>
      </c>
      <c r="F184" s="165" t="n"/>
    </row>
    <row r="185">
      <c r="A185" s="64" t="inlineStr">
        <is>
          <t>ART-run_03-CIE</t>
        </is>
      </c>
      <c r="B185" s="64" t="inlineStr">
        <is>
          <t>Cierre</t>
        </is>
      </c>
      <c r="C185" s="166" t="inlineStr">
        <is>
          <t>Valoración de lo que funcionó y lo que no *</t>
        </is>
      </c>
      <c r="D185" s="167" t="inlineStr">
        <is>
          <t>Sí</t>
        </is>
      </c>
      <c r="E185" s="164" t="n">
        <v>0</v>
      </c>
      <c r="F185" s="165" t="n"/>
    </row>
    <row r="186">
      <c r="A186" s="64" t="inlineStr">
        <is>
          <t>ART-run_03-CIE</t>
        </is>
      </c>
      <c r="B186" s="64" t="inlineStr">
        <is>
          <t>Cierre</t>
        </is>
      </c>
      <c r="C186" s="166" t="inlineStr">
        <is>
          <t>Registro de decisiones formales del proceso *</t>
        </is>
      </c>
      <c r="D186" s="167" t="inlineStr">
        <is>
          <t>Sí</t>
        </is>
      </c>
      <c r="E186" s="164" t="n">
        <v>0</v>
      </c>
      <c r="F186" s="165" t="n"/>
    </row>
    <row r="187">
      <c r="A187" s="64" t="inlineStr">
        <is>
          <t>ART-run_03-CIE</t>
        </is>
      </c>
      <c r="B187" s="64" t="inlineStr">
        <is>
          <t>Cierre</t>
        </is>
      </c>
      <c r="C187" s="166" t="inlineStr">
        <is>
          <t>Recomendaciones para iteraciones futuras</t>
        </is>
      </c>
      <c r="D187" s="167" t="inlineStr">
        <is>
          <t>No</t>
        </is>
      </c>
      <c r="E187" s="164" t="n">
        <v>0</v>
      </c>
      <c r="F187" s="165" t="n"/>
    </row>
    <row r="188">
      <c r="A188" s="64" t="inlineStr">
        <is>
          <t>ART-run_03-CIE</t>
        </is>
      </c>
      <c r="B188" s="64" t="inlineStr">
        <is>
          <t>Cierre</t>
        </is>
      </c>
      <c r="C188" s="166" t="inlineStr">
        <is>
          <t>Identificación de causas raíz</t>
        </is>
      </c>
      <c r="D188" s="167" t="inlineStr">
        <is>
          <t>No</t>
        </is>
      </c>
      <c r="E188" s="164" t="n">
        <v>0</v>
      </c>
      <c r="F188" s="165" t="n"/>
    </row>
  </sheetData>
  <mergeCells count="2">
    <mergeCell ref="A2:L2"/>
    <mergeCell ref="A1:L1"/>
  </mergeCells>
  <dataValidations count="1">
    <dataValidation sqref="E5:E188" showDropDown="0" showInputMessage="0" showErrorMessage="0" allowBlank="1" type="list">
      <formula1>"0,1"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zoomScale="70" zoomScaleNormal="70" workbookViewId="0">
      <selection activeCell="F5" sqref="F5"/>
    </sheetView>
  </sheetViews>
  <sheetFormatPr baseColWidth="10" defaultColWidth="8.6640625" defaultRowHeight="13.2"/>
  <cols>
    <col width="21.33203125" customWidth="1" style="202" min="1" max="1"/>
    <col width="11.21875" customWidth="1" style="200" min="2" max="2"/>
    <col width="16.33203125" customWidth="1" style="200" min="3" max="3"/>
    <col width="12.5546875" customWidth="1" style="200" min="4" max="4"/>
    <col width="13.21875" customWidth="1" style="200" min="5" max="5"/>
    <col width="12.5546875" customWidth="1" style="200" min="6" max="6"/>
    <col width="12.109375" customWidth="1" style="200" min="7" max="8"/>
    <col width="13.6640625" customWidth="1" style="200" min="9" max="9"/>
    <col width="8.6640625" customWidth="1" style="200" min="10" max="15"/>
    <col width="8.6640625" customWidth="1" style="200" min="16" max="16384"/>
  </cols>
  <sheetData>
    <row r="1" ht="20.4" customHeight="1">
      <c r="A1" s="201" t="inlineStr">
        <is>
          <t>R1/M1 — Resumen automático de cobertura por artefacto</t>
        </is>
      </c>
    </row>
    <row r="3" ht="33" customHeight="1">
      <c r="A3" s="163" t="inlineStr">
        <is>
          <t>ID artefacto</t>
        </is>
      </c>
      <c r="B3" s="163" t="inlineStr">
        <is>
          <t>Caso</t>
        </is>
      </c>
      <c r="C3" s="163" t="inlineStr">
        <is>
          <t>Familia</t>
        </is>
      </c>
      <c r="D3" s="163" t="inlineStr">
        <is>
          <t>N total elementos</t>
        </is>
      </c>
      <c r="E3" s="163" t="inlineStr">
        <is>
          <t>N
satisfechos</t>
        </is>
      </c>
      <c r="F3" s="163" t="inlineStr">
        <is>
          <t>Cobertura 
(%)</t>
        </is>
      </c>
      <c r="G3" s="163" t="inlineStr">
        <is>
          <t>N 
esenciales</t>
        </is>
      </c>
      <c r="H3" s="163" t="inlineStr">
        <is>
          <t>Esenciales
satisfechos</t>
        </is>
      </c>
      <c r="I3" s="163" t="inlineStr">
        <is>
          <t>Nivel M1 
(calculado)</t>
        </is>
      </c>
    </row>
    <row r="4">
      <c r="A4" s="57" t="inlineStr">
        <is>
          <t>ART-B-REQ</t>
        </is>
      </c>
      <c r="B4" s="57" t="inlineStr">
        <is>
          <t>Baseline</t>
        </is>
      </c>
      <c r="C4" s="57" t="inlineStr">
        <is>
          <t>Requisitos</t>
        </is>
      </c>
      <c r="D4" s="57" t="n">
        <v>7</v>
      </c>
      <c r="E4" s="12">
        <f>SUMIFS('03_R1_M1_checklist'!E:E,'03_R1_M1_checklist'!A:A,A4)</f>
        <v/>
      </c>
      <c r="F4" s="13">
        <f>IF(D4&gt;0,E4/D4*100,0)</f>
        <v/>
      </c>
      <c r="G4" s="12" t="n">
        <v>4</v>
      </c>
      <c r="H4" s="12">
        <f>COUNTIFS('03_R1_M1_checklist'!A:A,A4,'03_R1_M1_checklist'!D:D,"Sí",'03_R1_M1_checklist'!E:E,1)</f>
        <v/>
      </c>
      <c r="I4" s="12">
        <f>IF(E4="",0,IF(AND(F4&gt;=90,H4=G4),3,IF(AND(F4&gt;=50,H4=G4),2,IF(E4&gt;0,1,0))))</f>
        <v/>
      </c>
    </row>
    <row r="5">
      <c r="A5" s="57" t="inlineStr">
        <is>
          <t>ART-B-PLAN</t>
        </is>
      </c>
      <c r="B5" s="57" t="inlineStr">
        <is>
          <t>Baseline</t>
        </is>
      </c>
      <c r="C5" s="57" t="inlineStr">
        <is>
          <t>Planificación</t>
        </is>
      </c>
      <c r="D5" s="57" t="n">
        <v>8</v>
      </c>
      <c r="E5" s="12">
        <f>SUMIFS('03_R1_M1_checklist'!E:E,'03_R1_M1_checklist'!A:A,A5)</f>
        <v/>
      </c>
      <c r="F5" s="13">
        <f>IF(D5&gt;0,E5/D5*100,0)</f>
        <v/>
      </c>
      <c r="G5" s="12" t="n">
        <v>5</v>
      </c>
      <c r="H5" s="12">
        <f>COUNTIFS('03_R1_M1_checklist'!A:A,A5,'03_R1_M1_checklist'!D:D,"Sí",'03_R1_M1_checklist'!E:E,1)</f>
        <v/>
      </c>
      <c r="I5" s="12">
        <f>IF(E5="",0,IF(AND(F5&gt;=90,H5=G5),3,IF(AND(F5&gt;=50,H5=G5),2,IF(E5&gt;0,1,0))))</f>
        <v/>
      </c>
    </row>
    <row r="6">
      <c r="A6" s="57" t="inlineStr">
        <is>
          <t>ART-B-DIS</t>
        </is>
      </c>
      <c r="B6" s="57" t="inlineStr">
        <is>
          <t>Baseline</t>
        </is>
      </c>
      <c r="C6" s="57" t="inlineStr">
        <is>
          <t>Diseño técnico</t>
        </is>
      </c>
      <c r="D6" s="57" t="n">
        <v>7</v>
      </c>
      <c r="E6" s="12">
        <f>SUMIFS('03_R1_M1_checklist'!E:E,'03_R1_M1_checklist'!A:A,A6)</f>
        <v/>
      </c>
      <c r="F6" s="13">
        <f>IF(D6&gt;0,E6/D6*100,0)</f>
        <v/>
      </c>
      <c r="G6" s="12" t="n">
        <v>4</v>
      </c>
      <c r="H6" s="12">
        <f>COUNTIFS('03_R1_M1_checklist'!A:A,A6,'03_R1_M1_checklist'!D:D,"Sí",'03_R1_M1_checklist'!E:E,1)</f>
        <v/>
      </c>
      <c r="I6" s="12">
        <f>IF(E6="",0,IF(AND(F6&gt;=90,H6=G6),3,IF(AND(F6&gt;=50,H6=G6),2,IF(E6&gt;0,1,0))))</f>
        <v/>
      </c>
    </row>
    <row r="7">
      <c r="A7" s="57" t="inlineStr">
        <is>
          <t>ART-B-SEG-S1</t>
        </is>
      </c>
      <c r="B7" s="57" t="inlineStr">
        <is>
          <t>Baseline</t>
        </is>
      </c>
      <c r="C7" s="57" t="inlineStr">
        <is>
          <t>Seguimiento</t>
        </is>
      </c>
      <c r="D7" s="57" t="n">
        <v>6</v>
      </c>
      <c r="E7" s="12">
        <f>SUMIFS('03_R1_M1_checklist'!E:E,'03_R1_M1_checklist'!A:A,A7)</f>
        <v/>
      </c>
      <c r="F7" s="13">
        <f>IF(D7&gt;0,E7/D7*100,0)</f>
        <v/>
      </c>
      <c r="G7" s="12" t="n">
        <v>4</v>
      </c>
      <c r="H7" s="12">
        <f>COUNTIFS('03_R1_M1_checklist'!A:A,A7,'03_R1_M1_checklist'!D:D,"Sí",'03_R1_M1_checklist'!E:E,1)</f>
        <v/>
      </c>
      <c r="I7" s="12">
        <f>IF(E7="",0,IF(AND(F7&gt;=90,H7=G7),3,IF(AND(F7&gt;=50,H7=G7),2,IF(E7&gt;0,1,0))))</f>
        <v/>
      </c>
    </row>
    <row r="8">
      <c r="A8" s="57" t="inlineStr">
        <is>
          <t>ART-B-SEG-S2</t>
        </is>
      </c>
      <c r="B8" s="57" t="inlineStr">
        <is>
          <t>Baseline</t>
        </is>
      </c>
      <c r="C8" s="57" t="inlineStr">
        <is>
          <t>Seguimiento</t>
        </is>
      </c>
      <c r="D8" s="57" t="n">
        <v>6</v>
      </c>
      <c r="E8" s="12">
        <f>SUMIFS('03_R1_M1_checklist'!E:E,'03_R1_M1_checklist'!A:A,A8)</f>
        <v/>
      </c>
      <c r="F8" s="13">
        <f>IF(D8&gt;0,E8/D8*100,0)</f>
        <v/>
      </c>
      <c r="G8" s="12" t="n">
        <v>4</v>
      </c>
      <c r="H8" s="12">
        <f>COUNTIFS('03_R1_M1_checklist'!A:A,A8,'03_R1_M1_checklist'!D:D,"Sí",'03_R1_M1_checklist'!E:E,1)</f>
        <v/>
      </c>
      <c r="I8" s="12">
        <f>IF(E8="",0,IF(AND(F8&gt;=90,H8=G8),3,IF(AND(F8&gt;=50,H8=G8),2,IF(E8&gt;0,1,0))))</f>
        <v/>
      </c>
    </row>
    <row r="9">
      <c r="A9" s="57" t="inlineStr">
        <is>
          <t>ART-B-SEG-S3</t>
        </is>
      </c>
      <c r="B9" s="57" t="inlineStr">
        <is>
          <t>Baseline</t>
        </is>
      </c>
      <c r="C9" s="57" t="inlineStr">
        <is>
          <t>Seguimiento</t>
        </is>
      </c>
      <c r="D9" s="57" t="n">
        <v>6</v>
      </c>
      <c r="E9" s="12">
        <f>SUMIFS('03_R1_M1_checklist'!E:E,'03_R1_M1_checklist'!A:A,A9)</f>
        <v/>
      </c>
      <c r="F9" s="13">
        <f>IF(D9&gt;0,E9/D9*100,0)</f>
        <v/>
      </c>
      <c r="G9" s="12" t="n">
        <v>4</v>
      </c>
      <c r="H9" s="12">
        <f>COUNTIFS('03_R1_M1_checklist'!A:A,A9,'03_R1_M1_checklist'!D:D,"Sí",'03_R1_M1_checklist'!E:E,1)</f>
        <v/>
      </c>
      <c r="I9" s="12">
        <f>IF(E9="",0,IF(AND(F9&gt;=90,H9=G9),3,IF(AND(F9&gt;=50,H9=G9),2,IF(E9&gt;0,1,0))))</f>
        <v/>
      </c>
    </row>
    <row r="10" ht="13.8" customHeight="1" thickBot="1">
      <c r="A10" s="58" t="inlineStr">
        <is>
          <t>ART-B-CIE</t>
        </is>
      </c>
      <c r="B10" s="58" t="inlineStr">
        <is>
          <t>Baseline</t>
        </is>
      </c>
      <c r="C10" s="58" t="inlineStr">
        <is>
          <t>Cierre</t>
        </is>
      </c>
      <c r="D10" s="58" t="n">
        <v>6</v>
      </c>
      <c r="E10" s="92">
        <f>SUMIFS('03_R1_M1_checklist'!E:E,'03_R1_M1_checklist'!A:A,A10)</f>
        <v/>
      </c>
      <c r="F10" s="93">
        <f>IF(D10&gt;0,E10/D10*100,0)</f>
        <v/>
      </c>
      <c r="G10" s="92" t="n">
        <v>4</v>
      </c>
      <c r="H10" s="92">
        <f>COUNTIFS('03_R1_M1_checklist'!A:A,A10,'03_R1_M1_checklist'!D:D,"Sí",'03_R1_M1_checklist'!E:E,1)</f>
        <v/>
      </c>
      <c r="I10" s="92">
        <f>IF(E10="",0,IF(AND(F10&gt;=90,H10=G10),3,IF(AND(F10&gt;=50,H10=G10),2,IF(E10&gt;0,1,0))))</f>
        <v/>
      </c>
    </row>
    <row r="11">
      <c r="A11" s="61" t="inlineStr">
        <is>
          <t>ART-run_01-REQ</t>
        </is>
      </c>
      <c r="B11" s="61" t="inlineStr">
        <is>
          <t>Pipeline</t>
        </is>
      </c>
      <c r="C11" s="61" t="inlineStr">
        <is>
          <t>Requisitos</t>
        </is>
      </c>
      <c r="D11" s="61" t="n">
        <v>7</v>
      </c>
      <c r="E11" s="94">
        <f>SUMIFS('03_R1_M1_checklist'!E:E,'03_R1_M1_checklist'!A:A,A11)</f>
        <v/>
      </c>
      <c r="F11" s="95">
        <f>IF(D11&gt;0,E11/D11*100,0)</f>
        <v/>
      </c>
      <c r="G11" s="94" t="n">
        <v>4</v>
      </c>
      <c r="H11" s="94">
        <f>COUNTIFS('03_R1_M1_checklist'!A:A,A11,'03_R1_M1_checklist'!D:D,"Sí",'03_R1_M1_checklist'!E:E,1)</f>
        <v/>
      </c>
      <c r="I11" s="94">
        <f>IF(E11="",0,IF(AND(F11&gt;=90,H11=G11),3,IF(AND(F11&gt;=50,H11=G11),2,IF(E11&gt;0,1,0))))</f>
        <v/>
      </c>
    </row>
    <row r="12">
      <c r="A12" s="64" t="inlineStr">
        <is>
          <t>ART-run_01-PLAN</t>
        </is>
      </c>
      <c r="B12" s="64" t="inlineStr">
        <is>
          <t>Pipeline</t>
        </is>
      </c>
      <c r="C12" s="64" t="inlineStr">
        <is>
          <t>Planificación</t>
        </is>
      </c>
      <c r="D12" s="64" t="n">
        <v>8</v>
      </c>
      <c r="E12" s="12">
        <f>SUMIFS('03_R1_M1_checklist'!E:E,'03_R1_M1_checklist'!A:A,A12)</f>
        <v/>
      </c>
      <c r="F12" s="13">
        <f>IF(D12&gt;0,E12/D12*100,0)</f>
        <v/>
      </c>
      <c r="G12" s="12" t="n">
        <v>5</v>
      </c>
      <c r="H12" s="12">
        <f>COUNTIFS('03_R1_M1_checklist'!A:A,A12,'03_R1_M1_checklist'!D:D,"Sí",'03_R1_M1_checklist'!E:E,1)</f>
        <v/>
      </c>
      <c r="I12" s="12">
        <f>IF(E12="",0,IF(AND(F12&gt;=90,H12=G12),3,IF(AND(F12&gt;=50,H12=G12),2,IF(E12&gt;0,1,0))))</f>
        <v/>
      </c>
    </row>
    <row r="13">
      <c r="A13" s="64" t="inlineStr">
        <is>
          <t>ART-run_01-DIS</t>
        </is>
      </c>
      <c r="B13" s="64" t="inlineStr">
        <is>
          <t>Pipeline</t>
        </is>
      </c>
      <c r="C13" s="64" t="inlineStr">
        <is>
          <t>Diseño técnico</t>
        </is>
      </c>
      <c r="D13" s="64" t="n">
        <v>7</v>
      </c>
      <c r="E13" s="12">
        <f>SUMIFS('03_R1_M1_checklist'!E:E,'03_R1_M1_checklist'!A:A,A13)</f>
        <v/>
      </c>
      <c r="F13" s="13">
        <f>IF(D13&gt;0,E13/D13*100,0)</f>
        <v/>
      </c>
      <c r="G13" s="12" t="n">
        <v>4</v>
      </c>
      <c r="H13" s="12">
        <f>COUNTIFS('03_R1_M1_checklist'!A:A,A13,'03_R1_M1_checklist'!D:D,"Sí",'03_R1_M1_checklist'!E:E,1)</f>
        <v/>
      </c>
      <c r="I13" s="12">
        <f>IF(E13="",0,IF(AND(F13&gt;=90,H13=G13),3,IF(AND(F13&gt;=50,H13=G13),2,IF(E13&gt;0,1,0))))</f>
        <v/>
      </c>
    </row>
    <row r="14">
      <c r="A14" s="64" t="inlineStr">
        <is>
          <t>ART-run_01-SEG-S1</t>
        </is>
      </c>
      <c r="B14" s="64" t="inlineStr">
        <is>
          <t>Pipeline</t>
        </is>
      </c>
      <c r="C14" s="64" t="inlineStr">
        <is>
          <t>Seguimiento</t>
        </is>
      </c>
      <c r="D14" s="64" t="n">
        <v>6</v>
      </c>
      <c r="E14" s="12">
        <f>SUMIFS('03_R1_M1_checklist'!E:E,'03_R1_M1_checklist'!A:A,A14)</f>
        <v/>
      </c>
      <c r="F14" s="13">
        <f>IF(D14&gt;0,E14/D14*100,0)</f>
        <v/>
      </c>
      <c r="G14" s="12" t="n">
        <v>4</v>
      </c>
      <c r="H14" s="12">
        <f>COUNTIFS('03_R1_M1_checklist'!A:A,A14,'03_R1_M1_checklist'!D:D,"Sí",'03_R1_M1_checklist'!E:E,1)</f>
        <v/>
      </c>
      <c r="I14" s="12">
        <f>IF(E14="",0,IF(AND(F14&gt;=90,H14=G14),3,IF(AND(F14&gt;=50,H14=G14),2,IF(E14&gt;0,1,0))))</f>
        <v/>
      </c>
    </row>
    <row r="15">
      <c r="A15" s="64" t="inlineStr">
        <is>
          <t>ART-run_01-SEG-S2</t>
        </is>
      </c>
      <c r="B15" s="64" t="inlineStr">
        <is>
          <t>Pipeline</t>
        </is>
      </c>
      <c r="C15" s="64" t="inlineStr">
        <is>
          <t>Seguimiento</t>
        </is>
      </c>
      <c r="D15" s="64" t="n">
        <v>6</v>
      </c>
      <c r="E15" s="12">
        <f>SUMIFS('03_R1_M1_checklist'!E:E,'03_R1_M1_checklist'!A:A,A15)</f>
        <v/>
      </c>
      <c r="F15" s="13">
        <f>IF(D15&gt;0,E15/D15*100,0)</f>
        <v/>
      </c>
      <c r="G15" s="12" t="n">
        <v>4</v>
      </c>
      <c r="H15" s="12">
        <f>COUNTIFS('03_R1_M1_checklist'!A:A,A15,'03_R1_M1_checklist'!D:D,"Sí",'03_R1_M1_checklist'!E:E,1)</f>
        <v/>
      </c>
      <c r="I15" s="12">
        <f>IF(E15="",0,IF(AND(F15&gt;=90,H15=G15),3,IF(AND(F15&gt;=50,H15=G15),2,IF(E15&gt;0,1,0))))</f>
        <v/>
      </c>
    </row>
    <row r="16">
      <c r="A16" s="64" t="inlineStr">
        <is>
          <t>ART-run_01-SEG-S3</t>
        </is>
      </c>
      <c r="B16" s="64" t="inlineStr">
        <is>
          <t>Pipeline</t>
        </is>
      </c>
      <c r="C16" s="64" t="inlineStr">
        <is>
          <t>Seguimiento</t>
        </is>
      </c>
      <c r="D16" s="64" t="n">
        <v>6</v>
      </c>
      <c r="E16" s="12">
        <f>SUMIFS('03_R1_M1_checklist'!E:E,'03_R1_M1_checklist'!A:A,A16)</f>
        <v/>
      </c>
      <c r="F16" s="13">
        <f>IF(D16&gt;0,E16/D16*100,0)</f>
        <v/>
      </c>
      <c r="G16" s="12" t="n">
        <v>4</v>
      </c>
      <c r="H16" s="12">
        <f>COUNTIFS('03_R1_M1_checklist'!A:A,A16,'03_R1_M1_checklist'!D:D,"Sí",'03_R1_M1_checklist'!E:E,1)</f>
        <v/>
      </c>
      <c r="I16" s="12">
        <f>IF(E16="",0,IF(AND(F16&gt;=90,H16=G16),3,IF(AND(F16&gt;=50,H16=G16),2,IF(E16&gt;0,1,0))))</f>
        <v/>
      </c>
    </row>
    <row r="17" ht="13.8" customHeight="1" thickBot="1">
      <c r="A17" s="65" t="inlineStr">
        <is>
          <t>ART-run_01-CIE</t>
        </is>
      </c>
      <c r="B17" s="65" t="inlineStr">
        <is>
          <t>Pipeline</t>
        </is>
      </c>
      <c r="C17" s="65" t="inlineStr">
        <is>
          <t>Cierre</t>
        </is>
      </c>
      <c r="D17" s="65" t="n">
        <v>6</v>
      </c>
      <c r="E17" s="92">
        <f>SUMIFS('03_R1_M1_checklist'!E:E,'03_R1_M1_checklist'!A:A,A17)</f>
        <v/>
      </c>
      <c r="F17" s="93">
        <f>IF(D17&gt;0,E17/D17*100,0)</f>
        <v/>
      </c>
      <c r="G17" s="92" t="n">
        <v>4</v>
      </c>
      <c r="H17" s="92">
        <f>COUNTIFS('03_R1_M1_checklist'!A:A,A17,'03_R1_M1_checklist'!D:D,"Sí",'03_R1_M1_checklist'!E:E,1)</f>
        <v/>
      </c>
      <c r="I17" s="92">
        <f>IF(E17="",0,IF(AND(F17&gt;=90,H17=G17),3,IF(AND(F17&gt;=50,H17=G17),2,IF(E17&gt;0,1,0))))</f>
        <v/>
      </c>
    </row>
    <row r="18">
      <c r="A18" s="61" t="inlineStr">
        <is>
          <t>ART-run_02-REQ</t>
        </is>
      </c>
      <c r="B18" s="61" t="inlineStr">
        <is>
          <t>Pipeline</t>
        </is>
      </c>
      <c r="C18" s="61" t="inlineStr">
        <is>
          <t>Requisitos</t>
        </is>
      </c>
      <c r="D18" s="61" t="n">
        <v>7</v>
      </c>
      <c r="E18" s="94">
        <f>SUMIFS('03_R1_M1_checklist'!E:E,'03_R1_M1_checklist'!A:A,A18)</f>
        <v/>
      </c>
      <c r="F18" s="95">
        <f>IF(D18&gt;0,E18/D18*100,0)</f>
        <v/>
      </c>
      <c r="G18" s="94" t="n">
        <v>4</v>
      </c>
      <c r="H18" s="94">
        <f>COUNTIFS('03_R1_M1_checklist'!A:A,A18,'03_R1_M1_checklist'!D:D,"Sí",'03_R1_M1_checklist'!E:E,1)</f>
        <v/>
      </c>
      <c r="I18" s="94">
        <f>IF(E18="",0,IF(AND(F18&gt;=90,H18=G18),3,IF(AND(F18&gt;=50,H18=G18),2,IF(E18&gt;0,1,0))))</f>
        <v/>
      </c>
    </row>
    <row r="19">
      <c r="A19" s="64" t="inlineStr">
        <is>
          <t>ART-run_02-PLAN</t>
        </is>
      </c>
      <c r="B19" s="64" t="inlineStr">
        <is>
          <t>Pipeline</t>
        </is>
      </c>
      <c r="C19" s="64" t="inlineStr">
        <is>
          <t>Planificación</t>
        </is>
      </c>
      <c r="D19" s="64" t="n">
        <v>8</v>
      </c>
      <c r="E19" s="12">
        <f>SUMIFS('03_R1_M1_checklist'!E:E,'03_R1_M1_checklist'!A:A,A19)</f>
        <v/>
      </c>
      <c r="F19" s="13">
        <f>IF(D19&gt;0,E19/D19*100,0)</f>
        <v/>
      </c>
      <c r="G19" s="12" t="n">
        <v>5</v>
      </c>
      <c r="H19" s="12">
        <f>COUNTIFS('03_R1_M1_checklist'!A:A,A19,'03_R1_M1_checklist'!D:D,"Sí",'03_R1_M1_checklist'!E:E,1)</f>
        <v/>
      </c>
      <c r="I19" s="12">
        <f>IF(E19="",0,IF(AND(F19&gt;=90,H19=G19),3,IF(AND(F19&gt;=50,H19=G19),2,IF(E19&gt;0,1,0))))</f>
        <v/>
      </c>
    </row>
    <row r="20">
      <c r="A20" s="64" t="inlineStr">
        <is>
          <t>ART-run_02-DIS</t>
        </is>
      </c>
      <c r="B20" s="64" t="inlineStr">
        <is>
          <t>Pipeline</t>
        </is>
      </c>
      <c r="C20" s="64" t="inlineStr">
        <is>
          <t>Diseño técnico</t>
        </is>
      </c>
      <c r="D20" s="64" t="n">
        <v>7</v>
      </c>
      <c r="E20" s="12">
        <f>SUMIFS('03_R1_M1_checklist'!E:E,'03_R1_M1_checklist'!A:A,A20)</f>
        <v/>
      </c>
      <c r="F20" s="13">
        <f>IF(D20&gt;0,E20/D20*100,0)</f>
        <v/>
      </c>
      <c r="G20" s="12" t="n">
        <v>4</v>
      </c>
      <c r="H20" s="12">
        <f>COUNTIFS('03_R1_M1_checklist'!A:A,A20,'03_R1_M1_checklist'!D:D,"Sí",'03_R1_M1_checklist'!E:E,1)</f>
        <v/>
      </c>
      <c r="I20" s="12">
        <f>IF(E20="",0,IF(AND(F20&gt;=90,H20=G20),3,IF(AND(F20&gt;=50,H20=G20),2,IF(E20&gt;0,1,0))))</f>
        <v/>
      </c>
    </row>
    <row r="21">
      <c r="A21" s="64" t="inlineStr">
        <is>
          <t>ART-run_02-SEG-S1</t>
        </is>
      </c>
      <c r="B21" s="64" t="inlineStr">
        <is>
          <t>Pipeline</t>
        </is>
      </c>
      <c r="C21" s="64" t="inlineStr">
        <is>
          <t>Seguimiento</t>
        </is>
      </c>
      <c r="D21" s="64" t="n">
        <v>6</v>
      </c>
      <c r="E21" s="12">
        <f>SUMIFS('03_R1_M1_checklist'!E:E,'03_R1_M1_checklist'!A:A,A21)</f>
        <v/>
      </c>
      <c r="F21" s="13">
        <f>IF(D21&gt;0,E21/D21*100,0)</f>
        <v/>
      </c>
      <c r="G21" s="12" t="n">
        <v>4</v>
      </c>
      <c r="H21" s="12">
        <f>COUNTIFS('03_R1_M1_checklist'!A:A,A21,'03_R1_M1_checklist'!D:D,"Sí",'03_R1_M1_checklist'!E:E,1)</f>
        <v/>
      </c>
      <c r="I21" s="12">
        <f>IF(E21="",0,IF(AND(F21&gt;=90,H21=G21),3,IF(AND(F21&gt;=50,H21=G21),2,IF(E21&gt;0,1,0))))</f>
        <v/>
      </c>
    </row>
    <row r="22">
      <c r="A22" s="64" t="inlineStr">
        <is>
          <t>ART-run_02-SEG-S2</t>
        </is>
      </c>
      <c r="B22" s="64" t="inlineStr">
        <is>
          <t>Pipeline</t>
        </is>
      </c>
      <c r="C22" s="64" t="inlineStr">
        <is>
          <t>Seguimiento</t>
        </is>
      </c>
      <c r="D22" s="64" t="n">
        <v>6</v>
      </c>
      <c r="E22" s="12">
        <f>SUMIFS('03_R1_M1_checklist'!E:E,'03_R1_M1_checklist'!A:A,A22)</f>
        <v/>
      </c>
      <c r="F22" s="13">
        <f>IF(D22&gt;0,E22/D22*100,0)</f>
        <v/>
      </c>
      <c r="G22" s="12" t="n">
        <v>4</v>
      </c>
      <c r="H22" s="12">
        <f>COUNTIFS('03_R1_M1_checklist'!A:A,A22,'03_R1_M1_checklist'!D:D,"Sí",'03_R1_M1_checklist'!E:E,1)</f>
        <v/>
      </c>
      <c r="I22" s="12">
        <f>IF(E22="",0,IF(AND(F22&gt;=90,H22=G22),3,IF(AND(F22&gt;=50,H22=G22),2,IF(E22&gt;0,1,0))))</f>
        <v/>
      </c>
    </row>
    <row r="23">
      <c r="A23" s="64" t="inlineStr">
        <is>
          <t>ART-run_02-SEG-S3</t>
        </is>
      </c>
      <c r="B23" s="64" t="inlineStr">
        <is>
          <t>Pipeline</t>
        </is>
      </c>
      <c r="C23" s="64" t="inlineStr">
        <is>
          <t>Seguimiento</t>
        </is>
      </c>
      <c r="D23" s="64" t="n">
        <v>6</v>
      </c>
      <c r="E23" s="12">
        <f>SUMIFS('03_R1_M1_checklist'!E:E,'03_R1_M1_checklist'!A:A,A23)</f>
        <v/>
      </c>
      <c r="F23" s="13">
        <f>IF(D23&gt;0,E23/D23*100,0)</f>
        <v/>
      </c>
      <c r="G23" s="12" t="n">
        <v>4</v>
      </c>
      <c r="H23" s="12">
        <f>COUNTIFS('03_R1_M1_checklist'!A:A,A23,'03_R1_M1_checklist'!D:D,"Sí",'03_R1_M1_checklist'!E:E,1)</f>
        <v/>
      </c>
      <c r="I23" s="12">
        <f>IF(E23="",0,IF(AND(F23&gt;=90,H23=G23),3,IF(AND(F23&gt;=50,H23=G23),2,IF(E23&gt;0,1,0))))</f>
        <v/>
      </c>
    </row>
    <row r="24" ht="13.8" customHeight="1" thickBot="1">
      <c r="A24" s="65" t="inlineStr">
        <is>
          <t>ART-run_02-CIE</t>
        </is>
      </c>
      <c r="B24" s="65" t="inlineStr">
        <is>
          <t>Pipeline</t>
        </is>
      </c>
      <c r="C24" s="65" t="inlineStr">
        <is>
          <t>Cierre</t>
        </is>
      </c>
      <c r="D24" s="65" t="n">
        <v>6</v>
      </c>
      <c r="E24" s="92">
        <f>SUMIFS('03_R1_M1_checklist'!E:E,'03_R1_M1_checklist'!A:A,A24)</f>
        <v/>
      </c>
      <c r="F24" s="93">
        <f>IF(D24&gt;0,E24/D24*100,0)</f>
        <v/>
      </c>
      <c r="G24" s="92" t="n">
        <v>4</v>
      </c>
      <c r="H24" s="92">
        <f>COUNTIFS('03_R1_M1_checklist'!A:A,A24,'03_R1_M1_checklist'!D:D,"Sí",'03_R1_M1_checklist'!E:E,1)</f>
        <v/>
      </c>
      <c r="I24" s="92">
        <f>IF(E24="",0,IF(AND(F24&gt;=90,H24=G24),3,IF(AND(F24&gt;=50,H24=G24),2,IF(E24&gt;0,1,0))))</f>
        <v/>
      </c>
    </row>
    <row r="25">
      <c r="A25" s="61" t="inlineStr">
        <is>
          <t>ART-run_03-REQ</t>
        </is>
      </c>
      <c r="B25" s="61" t="inlineStr">
        <is>
          <t>Pipeline</t>
        </is>
      </c>
      <c r="C25" s="61" t="inlineStr">
        <is>
          <t>Requisitos</t>
        </is>
      </c>
      <c r="D25" s="61" t="n">
        <v>7</v>
      </c>
      <c r="E25" s="94">
        <f>SUMIFS('03_R1_M1_checklist'!E:E,'03_R1_M1_checklist'!A:A,A25)</f>
        <v/>
      </c>
      <c r="F25" s="95">
        <f>IF(D25&gt;0,E25/D25*100,0)</f>
        <v/>
      </c>
      <c r="G25" s="94" t="n">
        <v>4</v>
      </c>
      <c r="H25" s="94">
        <f>COUNTIFS('03_R1_M1_checklist'!A:A,A25,'03_R1_M1_checklist'!D:D,"Sí",'03_R1_M1_checklist'!E:E,1)</f>
        <v/>
      </c>
      <c r="I25" s="94">
        <f>IF(E25="",0,IF(AND(F25&gt;=90,H25=G25),3,IF(AND(F25&gt;=50,H25=G25),2,IF(E25&gt;0,1,0))))</f>
        <v/>
      </c>
    </row>
    <row r="26">
      <c r="A26" s="64" t="inlineStr">
        <is>
          <t>ART-run_03-PLAN</t>
        </is>
      </c>
      <c r="B26" s="64" t="inlineStr">
        <is>
          <t>Pipeline</t>
        </is>
      </c>
      <c r="C26" s="64" t="inlineStr">
        <is>
          <t>Planificación</t>
        </is>
      </c>
      <c r="D26" s="64" t="n">
        <v>8</v>
      </c>
      <c r="E26" s="12">
        <f>SUMIFS('03_R1_M1_checklist'!E:E,'03_R1_M1_checklist'!A:A,A26)</f>
        <v/>
      </c>
      <c r="F26" s="13">
        <f>IF(D26&gt;0,E26/D26*100,0)</f>
        <v/>
      </c>
      <c r="G26" s="12" t="n">
        <v>5</v>
      </c>
      <c r="H26" s="12">
        <f>COUNTIFS('03_R1_M1_checklist'!A:A,A26,'03_R1_M1_checklist'!D:D,"Sí",'03_R1_M1_checklist'!E:E,1)</f>
        <v/>
      </c>
      <c r="I26" s="12">
        <f>IF(E26="",0,IF(AND(F26&gt;=90,H26=G26),3,IF(AND(F26&gt;=50,H26=G26),2,IF(E26&gt;0,1,0))))</f>
        <v/>
      </c>
    </row>
    <row r="27">
      <c r="A27" s="64" t="inlineStr">
        <is>
          <t>ART-run_03-DIS</t>
        </is>
      </c>
      <c r="B27" s="64" t="inlineStr">
        <is>
          <t>Pipeline</t>
        </is>
      </c>
      <c r="C27" s="64" t="inlineStr">
        <is>
          <t>Diseño técnico</t>
        </is>
      </c>
      <c r="D27" s="64" t="n">
        <v>7</v>
      </c>
      <c r="E27" s="12">
        <f>SUMIFS('03_R1_M1_checklist'!E:E,'03_R1_M1_checklist'!A:A,A27)</f>
        <v/>
      </c>
      <c r="F27" s="13">
        <f>IF(D27&gt;0,E27/D27*100,0)</f>
        <v/>
      </c>
      <c r="G27" s="12" t="n">
        <v>4</v>
      </c>
      <c r="H27" s="12">
        <f>COUNTIFS('03_R1_M1_checklist'!A:A,A27,'03_R1_M1_checklist'!D:D,"Sí",'03_R1_M1_checklist'!E:E,1)</f>
        <v/>
      </c>
      <c r="I27" s="12">
        <f>IF(E27="",0,IF(AND(F27&gt;=90,H27=G27),3,IF(AND(F27&gt;=50,H27=G27),2,IF(E27&gt;0,1,0))))</f>
        <v/>
      </c>
    </row>
    <row r="28">
      <c r="A28" s="64" t="inlineStr">
        <is>
          <t>ART-run_03-SEG-S1</t>
        </is>
      </c>
      <c r="B28" s="64" t="inlineStr">
        <is>
          <t>Pipeline</t>
        </is>
      </c>
      <c r="C28" s="64" t="inlineStr">
        <is>
          <t>Seguimiento</t>
        </is>
      </c>
      <c r="D28" s="64" t="n">
        <v>6</v>
      </c>
      <c r="E28" s="12">
        <f>SUMIFS('03_R1_M1_checklist'!E:E,'03_R1_M1_checklist'!A:A,A28)</f>
        <v/>
      </c>
      <c r="F28" s="13">
        <f>IF(D28&gt;0,E28/D28*100,0)</f>
        <v/>
      </c>
      <c r="G28" s="12" t="n">
        <v>4</v>
      </c>
      <c r="H28" s="12">
        <f>COUNTIFS('03_R1_M1_checklist'!A:A,A28,'03_R1_M1_checklist'!D:D,"Sí",'03_R1_M1_checklist'!E:E,1)</f>
        <v/>
      </c>
      <c r="I28" s="12">
        <f>IF(E28="",0,IF(AND(F28&gt;=90,H28=G28),3,IF(AND(F28&gt;=50,H28=G28),2,IF(E28&gt;0,1,0))))</f>
        <v/>
      </c>
    </row>
    <row r="29">
      <c r="A29" s="64" t="inlineStr">
        <is>
          <t>ART-run_03-SEG-S2</t>
        </is>
      </c>
      <c r="B29" s="64" t="inlineStr">
        <is>
          <t>Pipeline</t>
        </is>
      </c>
      <c r="C29" s="64" t="inlineStr">
        <is>
          <t>Seguimiento</t>
        </is>
      </c>
      <c r="D29" s="64" t="n">
        <v>6</v>
      </c>
      <c r="E29" s="12">
        <f>SUMIFS('03_R1_M1_checklist'!E:E,'03_R1_M1_checklist'!A:A,A29)</f>
        <v/>
      </c>
      <c r="F29" s="13">
        <f>IF(D29&gt;0,E29/D29*100,0)</f>
        <v/>
      </c>
      <c r="G29" s="12" t="n">
        <v>4</v>
      </c>
      <c r="H29" s="12">
        <f>COUNTIFS('03_R1_M1_checklist'!A:A,A29,'03_R1_M1_checklist'!D:D,"Sí",'03_R1_M1_checklist'!E:E,1)</f>
        <v/>
      </c>
      <c r="I29" s="12">
        <f>IF(E29="",0,IF(AND(F29&gt;=90,H29=G29),3,IF(AND(F29&gt;=50,H29=G29),2,IF(E29&gt;0,1,0))))</f>
        <v/>
      </c>
    </row>
    <row r="30">
      <c r="A30" s="64" t="inlineStr">
        <is>
          <t>ART-run_03-SEG-S3</t>
        </is>
      </c>
      <c r="B30" s="64" t="inlineStr">
        <is>
          <t>Pipeline</t>
        </is>
      </c>
      <c r="C30" s="64" t="inlineStr">
        <is>
          <t>Seguimiento</t>
        </is>
      </c>
      <c r="D30" s="64" t="n">
        <v>6</v>
      </c>
      <c r="E30" s="12">
        <f>SUMIFS('03_R1_M1_checklist'!E:E,'03_R1_M1_checklist'!A:A,A30)</f>
        <v/>
      </c>
      <c r="F30" s="13">
        <f>IF(D30&gt;0,E30/D30*100,0)</f>
        <v/>
      </c>
      <c r="G30" s="12" t="n">
        <v>4</v>
      </c>
      <c r="H30" s="12">
        <f>COUNTIFS('03_R1_M1_checklist'!A:A,A30,'03_R1_M1_checklist'!D:D,"Sí",'03_R1_M1_checklist'!E:E,1)</f>
        <v/>
      </c>
      <c r="I30" s="12">
        <f>IF(E30="",0,IF(AND(F30&gt;=90,H30=G30),3,IF(AND(F30&gt;=50,H30=G30),2,IF(E30&gt;0,1,0))))</f>
        <v/>
      </c>
    </row>
    <row r="31">
      <c r="A31" s="64" t="inlineStr">
        <is>
          <t>ART-run_03-CIE</t>
        </is>
      </c>
      <c r="B31" s="64" t="inlineStr">
        <is>
          <t>Pipeline</t>
        </is>
      </c>
      <c r="C31" s="64" t="inlineStr">
        <is>
          <t>Cierre</t>
        </is>
      </c>
      <c r="D31" s="64" t="n">
        <v>6</v>
      </c>
      <c r="E31" s="12">
        <f>SUMIFS('03_R1_M1_checklist'!E:E,'03_R1_M1_checklist'!A:A,A31)</f>
        <v/>
      </c>
      <c r="F31" s="13">
        <f>IF(D31&gt;0,E31/D31*100,0)</f>
        <v/>
      </c>
      <c r="G31" s="12" t="n">
        <v>4</v>
      </c>
      <c r="H31" s="12">
        <f>COUNTIFS('03_R1_M1_checklist'!A:A,A31,'03_R1_M1_checklist'!D:D,"Sí",'03_R1_M1_checklist'!E:E,1)</f>
        <v/>
      </c>
      <c r="I31" s="12">
        <f>IF(E31="",0,IF(AND(F31&gt;=90,H31=G31),3,IF(AND(F31&gt;=50,H31=G31),2,IF(E31&gt;0,1,0))))</f>
        <v/>
      </c>
    </row>
  </sheetData>
  <mergeCells count="1">
    <mergeCell ref="A1:I1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6"/>
  <sheetViews>
    <sheetView zoomScale="70" zoomScaleNormal="70" workbookViewId="0">
      <pane ySplit="4" topLeftCell="A44" activePane="bottomLeft" state="frozen"/>
      <selection pane="bottomLeft" activeCell="J11" sqref="J11"/>
    </sheetView>
  </sheetViews>
  <sheetFormatPr baseColWidth="10" defaultColWidth="8.6640625" defaultRowHeight="13.2"/>
  <cols>
    <col width="16.33203125" bestFit="1" customWidth="1" style="202" min="1" max="1"/>
    <col width="17.109375" bestFit="1" customWidth="1" style="202" min="2" max="2"/>
    <col width="14.88671875" customWidth="1" style="202" min="3" max="3"/>
    <col width="13.33203125" customWidth="1" style="200" min="4" max="4"/>
    <col width="37.88671875" bestFit="1" customWidth="1" style="200" min="5" max="5"/>
    <col width="29.33203125" customWidth="1" style="200" min="6" max="6"/>
    <col width="80" customWidth="1" style="200" min="7" max="7"/>
    <col width="13.5546875" customWidth="1" style="200" min="8" max="8"/>
    <col width="8.6640625" customWidth="1" style="200" min="9" max="14"/>
    <col width="8.6640625" customWidth="1" style="200" min="15" max="16384"/>
  </cols>
  <sheetData>
    <row r="1" ht="22.2" customHeight="1">
      <c r="A1" s="201" t="inlineStr">
        <is>
          <t>R1/M3 — Registro de contradicciones detectadas</t>
        </is>
      </c>
    </row>
    <row r="2" ht="12.6" customHeight="1">
      <c r="A2" s="197" t="inlineStr">
        <is>
          <t>Una fila por contradicción detectada. Tipos: Factual, Terminológica, Granularidad, Prioridad/estado. Mayor/Menor solo para factuales (mayor = afecta núcleo funcional, esencial del check-list de M1).</t>
        </is>
      </c>
    </row>
    <row r="4" ht="27.6" customHeight="1">
      <c r="A4" s="163" t="inlineStr">
        <is>
          <t>ID artefacto</t>
        </is>
      </c>
      <c r="B4" s="163" t="inlineStr">
        <is>
          <t>ID contradicción</t>
        </is>
      </c>
      <c r="C4" s="163" t="inlineStr">
        <is>
          <t>Tipo</t>
        </is>
      </c>
      <c r="D4" s="163" t="inlineStr">
        <is>
          <t>Mayor/Menor (solo factual)</t>
        </is>
      </c>
      <c r="E4" s="163" t="inlineStr">
        <is>
          <t>Ubicación 1</t>
        </is>
      </c>
      <c r="F4" s="163" t="inlineStr">
        <is>
          <t>Ubicación 2</t>
        </is>
      </c>
      <c r="G4" s="163" t="inlineStr">
        <is>
          <t>Descripción</t>
        </is>
      </c>
      <c r="H4" s="163" t="inlineStr">
        <is>
          <t>Notas</t>
        </is>
      </c>
    </row>
    <row r="5">
      <c r="A5" s="108" t="inlineStr">
        <is>
          <t>ART-B-REQ</t>
        </is>
      </c>
      <c r="B5" s="109" t="n"/>
      <c r="C5" s="109" t="n"/>
      <c r="D5" s="110" t="n"/>
      <c r="E5" s="110" t="n"/>
      <c r="F5" s="110" t="n"/>
      <c r="G5" s="110" t="n"/>
      <c r="H5" s="110" t="n"/>
    </row>
    <row r="6" ht="27.6" customHeight="1">
      <c r="A6" s="96" t="inlineStr">
        <is>
          <t>ART-B-REQ</t>
        </is>
      </c>
      <c r="B6" s="111" t="inlineStr">
        <is>
          <t>M3-B-REQ-01</t>
        </is>
      </c>
      <c r="C6" s="111" t="inlineStr">
        <is>
          <t>Terminológica</t>
        </is>
      </c>
      <c r="D6" s="218" t="n"/>
      <c r="E6" s="112" t="inlineStr">
        <is>
          <t>Registro de Requisitos (IDs RF13, RF15, RF19)</t>
        </is>
      </c>
      <c r="F6" s="112" t="inlineStr">
        <is>
          <t>Matriz de Trazabilidad (IDs RF13, RF15, RF19)</t>
        </is>
      </c>
      <c r="G6" s="112" t="inlineStr">
        <is>
          <t>RF13, RF15 y RF19 no aparecen con la misma identificación/etiqueta en ambos documentos: el mismo requisito recibe nomenclatura distinta entre Registro y Matriz.</t>
        </is>
      </c>
      <c r="H6" s="218" t="n"/>
    </row>
    <row r="7" ht="27.6" customHeight="1">
      <c r="A7" s="96" t="inlineStr">
        <is>
          <t>ART-B-REQ</t>
        </is>
      </c>
      <c r="B7" s="111" t="inlineStr">
        <is>
          <t>M3-B-REQ-02</t>
        </is>
      </c>
      <c r="C7" s="111" t="inlineStr">
        <is>
          <t>Granularidad</t>
        </is>
      </c>
      <c r="D7" s="218" t="n"/>
      <c r="E7" s="112" t="inlineStr">
        <is>
          <t>Registro de Requisitos (numeración tras RF16)</t>
        </is>
      </c>
      <c r="F7" s="218" t="n"/>
      <c r="G7" s="112" t="inlineStr">
        <is>
          <t>La serie de identificadores salta numeración tras RF16, dejando huecos en la secuencia de RF; la lista de requisitos no mantiene un mismo nivel de granularidad en su indexación.</t>
        </is>
      </c>
      <c r="H7" s="218" t="n"/>
    </row>
    <row r="8" ht="27.6" customHeight="1">
      <c r="A8" s="96" t="inlineStr">
        <is>
          <t>ART-B-REQ</t>
        </is>
      </c>
      <c r="B8" s="111" t="inlineStr">
        <is>
          <t>M3-B-REQ-03</t>
        </is>
      </c>
      <c r="C8" s="111" t="inlineStr">
        <is>
          <t>Granularidad</t>
        </is>
      </c>
      <c r="D8" s="218" t="n"/>
      <c r="E8" s="112" t="inlineStr">
        <is>
          <t>Registro de Requisitos (RF19)</t>
        </is>
      </c>
      <c r="F8" s="112" t="inlineStr">
        <is>
          <t>Matriz de Trazabilidad / Product Backlogs S1-S3</t>
        </is>
      </c>
      <c r="G8" s="112" t="inlineStr">
        <is>
          <t>RF19 queda sin correspondencia clara en Registro/backlogs: el requisito no se descompone ni se enlaza al mismo nivel de detalle que el resto.</t>
        </is>
      </c>
      <c r="H8" s="218" t="n"/>
    </row>
    <row r="9">
      <c r="A9" s="108" t="inlineStr">
        <is>
          <t>ART-B-PLAN</t>
        </is>
      </c>
      <c r="B9" s="109" t="n"/>
      <c r="C9" s="109" t="n"/>
      <c r="D9" s="110" t="n"/>
      <c r="E9" s="110" t="n"/>
      <c r="F9" s="110" t="n"/>
      <c r="G9" s="110" t="n"/>
      <c r="H9" s="110" t="n"/>
    </row>
    <row r="10" ht="27.6" customHeight="1">
      <c r="A10" s="96" t="inlineStr">
        <is>
          <t>ART-B-PLAN</t>
        </is>
      </c>
      <c r="B10" s="111" t="inlineStr">
        <is>
          <t>M3-B-PLAN-01</t>
        </is>
      </c>
      <c r="C10" s="111" t="inlineStr">
        <is>
          <t>Terminológica</t>
        </is>
      </c>
      <c r="D10" s="218" t="n"/>
      <c r="E10" s="112" t="inlineStr">
        <is>
          <t>Sprint Plannings S1-S2-S3 (encabezado / tipo documental)</t>
        </is>
      </c>
      <c r="F10" s="218" t="n"/>
      <c r="G10" s="112" t="inlineStr">
        <is>
          <t>Algunos documentos de planning mantienen un tipo documental incorrecto en encabezado, confundiendo el rótulo del artefacto con su contenido.</t>
        </is>
      </c>
      <c r="H10" s="218" t="n"/>
    </row>
    <row r="11" ht="41.4" customHeight="1">
      <c r="A11" s="96" t="inlineStr">
        <is>
          <t>ART-B-PLAN</t>
        </is>
      </c>
      <c r="B11" s="111" t="inlineStr">
        <is>
          <t>M3-B-PLAN-02</t>
        </is>
      </c>
      <c r="C11" s="111" t="inlineStr">
        <is>
          <t>Granularidad</t>
        </is>
      </c>
      <c r="D11" s="218" t="n"/>
      <c r="E11" s="112" t="inlineStr">
        <is>
          <t>Sprint Planning Sx (decisión de pasarela/despliegue)</t>
        </is>
      </c>
      <c r="F11" s="112" t="inlineStr">
        <is>
          <t>Sprint Planning Sy / Informe de cierre</t>
        </is>
      </c>
      <c r="G11" s="112" t="inlineStr">
        <is>
          <t>Cambios de pasarela de pago y/o estrategia de despliegue entre sprints documentados a granularidad desigual: la decisión técnica no se refleja con el mismo nivel de detalle en plannings sucesivos, quedando solo parcialmente justificada en planning/cierre.</t>
        </is>
      </c>
      <c r="H11" s="218" t="n"/>
    </row>
    <row r="12">
      <c r="A12" s="57" t="n"/>
      <c r="B12" s="111" t="n"/>
      <c r="C12" s="111" t="n"/>
      <c r="D12" s="218" t="n"/>
      <c r="E12" s="218" t="n"/>
      <c r="F12" s="218" t="n"/>
      <c r="G12" s="218" t="n"/>
      <c r="H12" s="218" t="n"/>
    </row>
    <row r="13">
      <c r="A13" s="108" t="inlineStr">
        <is>
          <t>ART-B-DIS</t>
        </is>
      </c>
      <c r="B13" s="109" t="n"/>
      <c r="C13" s="109" t="n"/>
      <c r="D13" s="110" t="n"/>
      <c r="E13" s="110" t="n"/>
      <c r="F13" s="110" t="n"/>
      <c r="G13" s="110" t="n"/>
      <c r="H13" s="110" t="n"/>
    </row>
    <row r="14">
      <c r="A14" s="57" t="n"/>
      <c r="B14" s="111" t="n"/>
      <c r="C14" s="111" t="n"/>
      <c r="D14" s="218" t="n"/>
      <c r="E14" s="218" t="n"/>
      <c r="F14" s="218" t="n"/>
      <c r="G14" s="218" t="n"/>
      <c r="H14" s="218" t="n"/>
    </row>
    <row r="15">
      <c r="A15" s="57" t="n"/>
      <c r="B15" s="111" t="n"/>
      <c r="C15" s="111" t="n"/>
      <c r="D15" s="218" t="n"/>
      <c r="E15" s="218" t="n"/>
      <c r="F15" s="218" t="n"/>
      <c r="G15" s="218" t="n"/>
      <c r="H15" s="218" t="n"/>
    </row>
    <row r="16">
      <c r="A16" s="57" t="n"/>
      <c r="B16" s="111" t="n"/>
      <c r="C16" s="111" t="n"/>
      <c r="D16" s="218" t="n"/>
      <c r="E16" s="218" t="n"/>
      <c r="F16" s="218" t="n"/>
      <c r="G16" s="218" t="n"/>
      <c r="H16" s="218" t="n"/>
    </row>
    <row r="17">
      <c r="A17" s="108" t="inlineStr">
        <is>
          <t>ART-B-SEG-S1</t>
        </is>
      </c>
      <c r="B17" s="109" t="n"/>
      <c r="C17" s="109" t="n"/>
      <c r="D17" s="110" t="n"/>
      <c r="E17" s="110" t="n"/>
      <c r="F17" s="110" t="n"/>
      <c r="G17" s="110" t="n"/>
      <c r="H17" s="110" t="n"/>
    </row>
    <row r="18" ht="41.4" customHeight="1">
      <c r="A18" s="96" t="inlineStr">
        <is>
          <t>ART-B-SEG-S1</t>
        </is>
      </c>
      <c r="B18" s="111" t="inlineStr">
        <is>
          <t>M3-B-SEG-S1-01</t>
        </is>
      </c>
      <c r="C18" s="111" t="inlineStr">
        <is>
          <t>Terminológica</t>
        </is>
      </c>
      <c r="D18" s="218" t="n"/>
      <c r="E18" s="112" t="inlineStr">
        <is>
          <t>Sprint Review 1 / Retrospective 1 (encabezado)</t>
        </is>
      </c>
      <c r="F18" s="218" t="n"/>
      <c r="G18" s="112" t="inlineStr">
        <is>
          <t>Algunos encabezados identifican la review/retrospective como Sprint Planning: el mismo tipo de documento recibe rótulos distintos, lo que introduce ambigüedad sobre el tipo de artefacto. No afecta al contenido central.</t>
        </is>
      </c>
      <c r="H18" s="218" t="n"/>
    </row>
    <row r="19">
      <c r="A19" s="57" t="n"/>
      <c r="B19" s="111" t="n"/>
      <c r="C19" s="111" t="n"/>
      <c r="D19" s="218" t="n"/>
      <c r="E19" s="218" t="n"/>
      <c r="F19" s="218" t="n"/>
      <c r="G19" s="218" t="n"/>
      <c r="H19" s="218" t="n"/>
    </row>
    <row r="20">
      <c r="A20" s="57" t="n"/>
      <c r="B20" s="111" t="n"/>
      <c r="C20" s="111" t="n"/>
      <c r="D20" s="218" t="n"/>
      <c r="E20" s="218" t="n"/>
      <c r="F20" s="218" t="n"/>
      <c r="G20" s="218" t="n"/>
      <c r="H20" s="218" t="n"/>
    </row>
    <row r="21">
      <c r="A21" s="108" t="inlineStr">
        <is>
          <t>ART-B-SEG-S2</t>
        </is>
      </c>
      <c r="B21" s="109" t="n"/>
      <c r="C21" s="109" t="n"/>
      <c r="D21" s="110" t="n"/>
      <c r="E21" s="110" t="n"/>
      <c r="F21" s="110" t="n"/>
      <c r="G21" s="110" t="n"/>
      <c r="H21" s="110" t="n"/>
    </row>
    <row r="22" ht="27.6" customHeight="1">
      <c r="A22" s="96" t="inlineStr">
        <is>
          <t>ART-B-SEG-S2</t>
        </is>
      </c>
      <c r="B22" s="111" t="inlineStr">
        <is>
          <t>M3-B-SEG-S2-01</t>
        </is>
      </c>
      <c r="C22" s="111" t="inlineStr">
        <is>
          <t>Terminológica</t>
        </is>
      </c>
      <c r="D22" s="218" t="n"/>
      <c r="E22" s="112" t="inlineStr">
        <is>
          <t>Sprint Review 2 / Retrospective 2 (encabezado)</t>
        </is>
      </c>
      <c r="F22" s="218" t="n"/>
      <c r="G22" s="112" t="inlineStr">
        <is>
          <t>Encabezado/tipo de documento inconsistente con el contenido del artefacto: persiste la confusión Planning vs. Review/Retrospective del Sprint 1.</t>
        </is>
      </c>
      <c r="H22" s="218" t="n"/>
    </row>
    <row r="23">
      <c r="A23" s="57" t="n"/>
      <c r="B23" s="111" t="n"/>
      <c r="C23" s="111" t="n"/>
      <c r="D23" s="218" t="n"/>
      <c r="E23" s="218" t="n"/>
      <c r="F23" s="218" t="n"/>
      <c r="G23" s="218" t="n"/>
      <c r="H23" s="218" t="n"/>
    </row>
    <row r="24">
      <c r="A24" s="57" t="n"/>
      <c r="B24" s="111" t="n"/>
      <c r="C24" s="111" t="n"/>
      <c r="D24" s="218" t="n"/>
      <c r="E24" s="218" t="n"/>
      <c r="F24" s="218" t="n"/>
      <c r="G24" s="218" t="n"/>
      <c r="H24" s="218" t="n"/>
    </row>
    <row r="25">
      <c r="A25" s="108" t="inlineStr">
        <is>
          <t>ART-B-SEG-S3</t>
        </is>
      </c>
      <c r="B25" s="109" t="n"/>
      <c r="C25" s="109" t="n"/>
      <c r="D25" s="110" t="n"/>
      <c r="E25" s="110" t="n"/>
      <c r="F25" s="110" t="n"/>
      <c r="G25" s="110" t="n"/>
      <c r="H25" s="110" t="n"/>
    </row>
    <row r="26" ht="41.4" customHeight="1">
      <c r="A26" s="96" t="inlineStr">
        <is>
          <t>ART-B-SEG-S3</t>
        </is>
      </c>
      <c r="B26" s="111" t="inlineStr">
        <is>
          <t>M3-B-SEG-S3-01</t>
        </is>
      </c>
      <c r="C26" s="111" t="inlineStr">
        <is>
          <t>Factual</t>
        </is>
      </c>
      <c r="D26" s="112" t="inlineStr">
        <is>
          <t>Menor</t>
        </is>
      </c>
      <c r="E26" s="112" t="inlineStr">
        <is>
          <t>Retrospectiva Sprint 3 (fechas)</t>
        </is>
      </c>
      <c r="F26" s="112" t="inlineStr">
        <is>
          <t>Planning / Review Sprint 3 (fechas)</t>
        </is>
      </c>
      <c r="G26" s="112" t="inlineStr">
        <is>
          <t>Fechas declaradas en la retrospectiva del Sprint 3 no cuadran con las del planning/review del mismo sprint: dos elementos del artefacto afirman cosas incompatibles sobre el mismo aspecto temporal. Menor: no afecta al núcleo funcional del seguimiento.</t>
        </is>
      </c>
      <c r="H26" s="218" t="n"/>
    </row>
    <row r="27" ht="27.6" customHeight="1">
      <c r="A27" s="96" t="inlineStr">
        <is>
          <t>ART-B-SEG-S3</t>
        </is>
      </c>
      <c r="B27" s="111" t="inlineStr">
        <is>
          <t>M3-B-SEG-S3-02</t>
        </is>
      </c>
      <c r="C27" s="111" t="inlineStr">
        <is>
          <t>Terminológica</t>
        </is>
      </c>
      <c r="D27" s="218" t="n"/>
      <c r="E27" s="112" t="inlineStr">
        <is>
          <t>Sprint Review 3 / Retrospective 3 (encabezado)</t>
        </is>
      </c>
      <c r="F27" s="218" t="n"/>
      <c r="G27" s="112" t="inlineStr">
        <is>
          <t>Persistencia de encabezados no alineados con el tipo real de documento (Planning vs Review/Retrospective), análoga a S1 y S2.</t>
        </is>
      </c>
      <c r="H27" s="218" t="n"/>
    </row>
    <row r="28">
      <c r="A28" s="57" t="n"/>
      <c r="B28" s="111" t="n"/>
      <c r="C28" s="111" t="n"/>
      <c r="D28" s="218" t="n"/>
      <c r="E28" s="218" t="n"/>
      <c r="F28" s="218" t="n"/>
      <c r="G28" s="218" t="n"/>
      <c r="H28" s="218" t="n"/>
    </row>
    <row r="29">
      <c r="A29" s="108" t="inlineStr">
        <is>
          <t>ART-B-CIE</t>
        </is>
      </c>
      <c r="B29" s="109" t="n"/>
      <c r="C29" s="109" t="n"/>
      <c r="D29" s="110" t="n"/>
      <c r="E29" s="110" t="n"/>
      <c r="F29" s="110" t="n"/>
      <c r="G29" s="110" t="n"/>
      <c r="H29" s="110" t="n"/>
    </row>
    <row r="30">
      <c r="A30" s="57" t="n"/>
      <c r="B30" s="111" t="n"/>
      <c r="C30" s="111" t="n"/>
      <c r="D30" s="218" t="n"/>
      <c r="E30" s="218" t="n"/>
      <c r="F30" s="218" t="n"/>
      <c r="G30" s="218" t="n"/>
      <c r="H30" s="218" t="n"/>
    </row>
    <row r="31">
      <c r="A31" s="57" t="n"/>
      <c r="B31" s="111" t="n"/>
      <c r="C31" s="111" t="n"/>
      <c r="D31" s="218" t="n"/>
      <c r="E31" s="218" t="n"/>
      <c r="F31" s="218" t="n"/>
      <c r="G31" s="218" t="n"/>
      <c r="H31" s="218" t="n"/>
    </row>
    <row r="32">
      <c r="A32" s="57" t="n"/>
      <c r="B32" s="111" t="n"/>
      <c r="C32" s="111" t="n"/>
      <c r="D32" s="218" t="n"/>
      <c r="E32" s="218" t="n"/>
      <c r="F32" s="218" t="n"/>
      <c r="G32" s="218" t="n"/>
      <c r="H32" s="218" t="n"/>
    </row>
    <row r="33">
      <c r="A33" s="108" t="inlineStr">
        <is>
          <t>ART-run_01-REQ</t>
        </is>
      </c>
      <c r="B33" s="109" t="n"/>
      <c r="C33" s="109" t="n"/>
      <c r="D33" s="110" t="n"/>
      <c r="E33" s="110" t="n"/>
      <c r="F33" s="110" t="n"/>
      <c r="G33" s="110" t="n"/>
      <c r="H33" s="110" t="n"/>
    </row>
    <row r="34" ht="41.4" customHeight="1">
      <c r="A34" s="97" t="inlineStr">
        <is>
          <t>ART-run_01-REQ</t>
        </is>
      </c>
      <c r="B34" s="111" t="inlineStr">
        <is>
          <t>M3-run_01-REQ-01</t>
        </is>
      </c>
      <c r="C34" s="111" t="inlineStr">
        <is>
          <t>Granularidad</t>
        </is>
      </c>
      <c r="D34" s="218" t="n"/>
      <c r="E34" s="112" t="inlineStr">
        <is>
          <t>registro_requisitos.json / .md (campo prioridad)</t>
        </is>
      </c>
      <c r="F34" s="218" t="n"/>
      <c r="G34" s="112" t="inlineStr">
        <is>
          <t>La priorización asignada a los RF/RNF es poco discriminante: la mayoría de los ítems recibe el mismo valor, lo que indica granularidad insuficiente en el atributo de prioridad. Observación no bloqueante registrada por Gate 1.</t>
        </is>
      </c>
      <c r="H34" s="218" t="n"/>
    </row>
    <row r="35" ht="27.6" customHeight="1">
      <c r="A35" s="97" t="inlineStr">
        <is>
          <t>ART-run_01-REQ</t>
        </is>
      </c>
      <c r="B35" s="111" t="inlineStr">
        <is>
          <t>M3-run_01-REQ-02</t>
        </is>
      </c>
      <c r="C35" s="111" t="inlineStr">
        <is>
          <t>Granularidad</t>
        </is>
      </c>
      <c r="D35" s="218" t="n"/>
      <c r="E35" s="112" t="inlineStr">
        <is>
          <t>registro_requisitos.json / .md (RNF de seguridad e importe)</t>
        </is>
      </c>
      <c r="F35" s="218" t="n"/>
      <c r="G35" s="112" t="inlineStr">
        <is>
          <t>Granularidad limitada en los RNF de seguridad y de importe: requisitos que deberían desglosarse en varios ítems quedan agrupados en un único RNF.</t>
        </is>
      </c>
      <c r="H35" s="218" t="n"/>
    </row>
    <row r="36">
      <c r="A36" s="64" t="n"/>
      <c r="B36" s="111" t="n"/>
      <c r="C36" s="111" t="n"/>
      <c r="D36" s="218" t="n"/>
      <c r="E36" s="218" t="n"/>
      <c r="F36" s="218" t="n"/>
      <c r="G36" s="218" t="n"/>
      <c r="H36" s="218" t="n"/>
    </row>
    <row r="37" ht="26.4" customHeight="1">
      <c r="A37" s="108" t="inlineStr">
        <is>
          <t>ART-run_01-PLAN</t>
        </is>
      </c>
      <c r="B37" s="109" t="n"/>
      <c r="C37" s="109" t="n"/>
      <c r="D37" s="110" t="n"/>
      <c r="E37" s="110" t="n"/>
      <c r="F37" s="110" t="n"/>
      <c r="G37" s="110" t="n"/>
      <c r="H37" s="110" t="n"/>
    </row>
    <row r="38" ht="27.6" customHeight="1">
      <c r="A38" s="97" t="inlineStr">
        <is>
          <t>ART-run_01-PLAN</t>
        </is>
      </c>
      <c r="B38" s="111" t="inlineStr">
        <is>
          <t>M3-run_01-PLAN-01</t>
        </is>
      </c>
      <c r="C38" s="111" t="inlineStr">
        <is>
          <t>Granularidad</t>
        </is>
      </c>
      <c r="D38" s="218" t="n"/>
      <c r="E38" s="112" t="inlineStr">
        <is>
          <t>backlog / plan_sprints (reparto entre sprints)</t>
        </is>
      </c>
      <c r="F38" s="218" t="n"/>
      <c r="G38" s="112" t="inlineStr">
        <is>
          <t>Concentración de complejidad en un sprint frente a los otros: el reparto de HU no mantiene un nivel de complejidad homogéneo entre los tres sprints. Observación no bloqueante de Gate 2.</t>
        </is>
      </c>
      <c r="H38" s="218" t="n"/>
    </row>
    <row r="39" ht="41.4" customHeight="1">
      <c r="A39" s="97" t="inlineStr">
        <is>
          <t>ART-run_01-PLAN</t>
        </is>
      </c>
      <c r="B39" s="111" t="inlineStr">
        <is>
          <t>M3-run_01-PLAN-02</t>
        </is>
      </c>
      <c r="C39" s="111" t="inlineStr">
        <is>
          <t>Granularidad</t>
        </is>
      </c>
      <c r="D39" s="218" t="n"/>
      <c r="E39" s="112" t="inlineStr">
        <is>
          <t>Dockerfile (seed) / plan_sprints (uso de cron/Celery)</t>
        </is>
      </c>
      <c r="F39" s="218" t="n"/>
      <c r="G39" s="112" t="inlineStr">
        <is>
          <t>Decisiones técnicas (seed en Dockerfile, posible exceso con cron/Celery) introducidas a un nivel de detalle distinto del que corresponde a un artefacto de planificación: mezcla de planificación de alto nivel con detalle de implementación. Observación no bloqueante de Gate 2.</t>
        </is>
      </c>
      <c r="H39" s="218" t="n"/>
    </row>
    <row r="40">
      <c r="A40" s="64" t="n"/>
      <c r="B40" s="111" t="n"/>
      <c r="C40" s="111" t="n"/>
      <c r="D40" s="218" t="n"/>
      <c r="E40" s="218" t="n"/>
      <c r="F40" s="218" t="n"/>
      <c r="G40" s="218" t="n"/>
      <c r="H40" s="218" t="n"/>
    </row>
    <row r="41">
      <c r="A41" s="108" t="inlineStr">
        <is>
          <t>ART-run_01-DIS</t>
        </is>
      </c>
      <c r="B41" s="109" t="n"/>
      <c r="C41" s="109" t="n"/>
      <c r="D41" s="110" t="n"/>
      <c r="E41" s="110" t="n"/>
      <c r="F41" s="110" t="n"/>
      <c r="G41" s="110" t="n"/>
      <c r="H41" s="110" t="n"/>
    </row>
    <row r="42" ht="26.4" customHeight="1">
      <c r="A42" s="64" t="inlineStr">
        <is>
          <t>ART-run_01-DIS</t>
        </is>
      </c>
      <c r="B42" s="111" t="inlineStr">
        <is>
          <t>M3-run_01-DIS-01</t>
        </is>
      </c>
      <c r="C42" s="111" t="inlineStr">
        <is>
          <t>Terminol?gica</t>
        </is>
      </c>
      <c r="D42" s="218" t="n"/>
      <c r="E42" s="218" t="inlineStr">
        <is>
          <t>diseno_tecnico.json / .md (campo ImageField)</t>
        </is>
      </c>
      <c r="F42" s="218" t="n"/>
      <c r="G42" s="218" t="inlineStr">
        <is>
          <t>ImageField aparece declarado como upload_to=barcos/ sin comillas; el dise?o usa una formulaci?n no alineada con la convenci?n del framework. Observaci?n menor de Gate 3.</t>
        </is>
      </c>
      <c r="H42" s="218" t="n"/>
    </row>
    <row r="43" ht="39.6" customHeight="1">
      <c r="A43" s="64" t="inlineStr">
        <is>
          <t>ART-run_01-DIS</t>
        </is>
      </c>
      <c r="B43" s="111" t="inlineStr">
        <is>
          <t>M3-run_01-DIS-02</t>
        </is>
      </c>
      <c r="C43" s="111" t="inlineStr">
        <is>
          <t>Granularidad</t>
        </is>
      </c>
      <c r="D43" s="218" t="n"/>
      <c r="E43" s="218" t="inlineStr">
        <is>
          <t>diseno_tecnico.json / .md (core/settings, core/urls)</t>
        </is>
      </c>
      <c r="F43" s="218" t="n"/>
      <c r="G43" s="218" t="inlineStr">
        <is>
          <t>core/settings.py y core/urls.py pueden confundirse con el paquete de proyecto Django; la organizaci?n se documenta a un nivel distinto del resto de apps/componentes. Observaci?n menor de Gate 3.</t>
        </is>
      </c>
      <c r="H43" s="218" t="n"/>
    </row>
    <row r="44" ht="39.6" customHeight="1">
      <c r="A44" s="64" t="inlineStr">
        <is>
          <t>ART-run_01-DIS</t>
        </is>
      </c>
      <c r="B44" s="111" t="inlineStr">
        <is>
          <t>M3-run_01-DIS-03</t>
        </is>
      </c>
      <c r="C44" s="111" t="inlineStr">
        <is>
          <t>Granularidad</t>
        </is>
      </c>
      <c r="D44" s="218" t="n"/>
      <c r="E44" s="218" t="inlineStr">
        <is>
          <t>diseno_tecnico.json / .md (disponibilidad y rutas)</t>
        </is>
      </c>
      <c r="F44" s="218" t="n"/>
      <c r="G44" s="218" t="inlineStr">
        <is>
          <t>La disponibilidad por fechas aparece tratada con menor precisi?n t?cnica de la esperada y logout se plantea como ruta GET; son observaciones de dise?o no bloqueantes registradas en Gate 3.</t>
        </is>
      </c>
      <c r="H44" s="218" t="n"/>
    </row>
    <row r="45" ht="26.4" customHeight="1">
      <c r="A45" s="108" t="inlineStr">
        <is>
          <t>ART-run_01-SEG-S1</t>
        </is>
      </c>
      <c r="B45" s="109" t="n"/>
      <c r="C45" s="109" t="n"/>
      <c r="D45" s="110" t="n"/>
      <c r="E45" s="110" t="n"/>
      <c r="F45" s="110" t="n"/>
      <c r="G45" s="110" t="n"/>
      <c r="H45" s="110" t="n"/>
    </row>
    <row r="46">
      <c r="A46" s="64" t="n"/>
      <c r="B46" s="111" t="n"/>
      <c r="C46" s="111" t="n"/>
      <c r="D46" s="218" t="n"/>
      <c r="E46" s="218" t="n"/>
      <c r="F46" s="218" t="n"/>
      <c r="G46" s="218" t="n"/>
      <c r="H46" s="218" t="n"/>
    </row>
    <row r="47">
      <c r="A47" s="64" t="n"/>
      <c r="B47" s="111" t="n"/>
      <c r="C47" s="111" t="n"/>
      <c r="D47" s="218" t="n"/>
      <c r="E47" s="218" t="n"/>
      <c r="F47" s="218" t="n"/>
      <c r="G47" s="218" t="n"/>
      <c r="H47" s="218" t="n"/>
    </row>
    <row r="48">
      <c r="A48" s="64" t="n"/>
      <c r="B48" s="111" t="n"/>
      <c r="C48" s="111" t="n"/>
      <c r="D48" s="218" t="n"/>
      <c r="E48" s="218" t="n"/>
      <c r="F48" s="218" t="n"/>
      <c r="G48" s="218" t="n"/>
      <c r="H48" s="218" t="n"/>
    </row>
    <row r="49" ht="26.4" customHeight="1">
      <c r="A49" s="108" t="inlineStr">
        <is>
          <t>ART-run_01-SEG-S2</t>
        </is>
      </c>
      <c r="B49" s="109" t="n"/>
      <c r="C49" s="109" t="n"/>
      <c r="D49" s="110" t="n"/>
      <c r="E49" s="110" t="n"/>
      <c r="F49" s="110" t="n"/>
      <c r="G49" s="110" t="n"/>
      <c r="H49" s="110" t="n"/>
    </row>
    <row r="50">
      <c r="A50" s="64" t="n"/>
      <c r="B50" s="111" t="n"/>
      <c r="C50" s="111" t="n"/>
      <c r="D50" s="218" t="n"/>
      <c r="E50" s="218" t="n"/>
      <c r="F50" s="218" t="n"/>
      <c r="G50" s="218" t="n"/>
      <c r="H50" s="218" t="n"/>
    </row>
    <row r="51">
      <c r="A51" s="64" t="n"/>
      <c r="B51" s="111" t="n"/>
      <c r="C51" s="111" t="n"/>
      <c r="D51" s="218" t="n"/>
      <c r="E51" s="218" t="n"/>
      <c r="F51" s="218" t="n"/>
      <c r="G51" s="218" t="n"/>
      <c r="H51" s="218" t="n"/>
    </row>
    <row r="52">
      <c r="A52" s="64" t="n"/>
      <c r="B52" s="111" t="n"/>
      <c r="C52" s="111" t="n"/>
      <c r="D52" s="218" t="n"/>
      <c r="E52" s="218" t="n"/>
      <c r="F52" s="218" t="n"/>
      <c r="G52" s="218" t="n"/>
      <c r="H52" s="218" t="n"/>
    </row>
    <row r="53" ht="26.4" customHeight="1">
      <c r="A53" s="108" t="inlineStr">
        <is>
          <t>ART-run_01-SEG-S3</t>
        </is>
      </c>
      <c r="B53" s="109" t="n"/>
      <c r="C53" s="109" t="n"/>
      <c r="D53" s="110" t="n"/>
      <c r="E53" s="110" t="n"/>
      <c r="F53" s="110" t="n"/>
      <c r="G53" s="110" t="n"/>
      <c r="H53" s="110" t="n"/>
    </row>
    <row r="54">
      <c r="A54" s="64" t="n"/>
      <c r="B54" s="111" t="n"/>
      <c r="C54" s="111" t="n"/>
      <c r="D54" s="218" t="n"/>
      <c r="E54" s="218" t="n"/>
      <c r="F54" s="218" t="n"/>
      <c r="G54" s="218" t="n"/>
      <c r="H54" s="218" t="n"/>
    </row>
    <row r="55">
      <c r="A55" s="64" t="n"/>
      <c r="B55" s="111" t="n"/>
      <c r="C55" s="111" t="n"/>
      <c r="D55" s="218" t="n"/>
      <c r="E55" s="218" t="n"/>
      <c r="F55" s="218" t="n"/>
      <c r="G55" s="218" t="n"/>
      <c r="H55" s="218" t="n"/>
    </row>
    <row r="56">
      <c r="A56" s="64" t="n"/>
      <c r="B56" s="111" t="n"/>
      <c r="C56" s="111" t="n"/>
      <c r="D56" s="218" t="n"/>
      <c r="E56" s="218" t="n"/>
      <c r="F56" s="218" t="n"/>
      <c r="G56" s="218" t="n"/>
      <c r="H56" s="218" t="n"/>
    </row>
    <row r="57">
      <c r="A57" s="108" t="inlineStr">
        <is>
          <t>ART-run_01-CIE</t>
        </is>
      </c>
      <c r="B57" s="109" t="n"/>
      <c r="C57" s="109" t="n"/>
      <c r="D57" s="110" t="n"/>
      <c r="E57" s="110" t="n"/>
      <c r="F57" s="110" t="n"/>
      <c r="G57" s="110" t="n"/>
      <c r="H57" s="110" t="n"/>
    </row>
    <row r="58">
      <c r="A58" s="64" t="n"/>
      <c r="B58" s="111" t="n"/>
      <c r="C58" s="111" t="n"/>
      <c r="D58" s="218" t="n"/>
      <c r="E58" s="218" t="n"/>
      <c r="F58" s="218" t="n"/>
      <c r="G58" s="218" t="n"/>
      <c r="H58" s="218" t="n"/>
    </row>
    <row r="59">
      <c r="A59" s="64" t="n"/>
      <c r="B59" s="111" t="n"/>
      <c r="C59" s="111" t="n"/>
      <c r="D59" s="218" t="n"/>
      <c r="E59" s="218" t="n"/>
      <c r="F59" s="218" t="n"/>
      <c r="G59" s="218" t="n"/>
      <c r="H59" s="218" t="n"/>
    </row>
    <row r="60">
      <c r="A60" s="64" t="n"/>
      <c r="B60" s="111" t="n"/>
      <c r="C60" s="111" t="n"/>
      <c r="D60" s="218" t="n"/>
      <c r="E60" s="218" t="n"/>
      <c r="F60" s="218" t="n"/>
      <c r="G60" s="218" t="n"/>
      <c r="H60" s="218" t="n"/>
    </row>
    <row r="61">
      <c r="A61" s="108" t="inlineStr">
        <is>
          <t>ART-run_02-REQ</t>
        </is>
      </c>
      <c r="B61" s="109" t="n"/>
      <c r="C61" s="109" t="n"/>
      <c r="D61" s="110" t="n"/>
      <c r="E61" s="110" t="n"/>
      <c r="F61" s="110" t="n"/>
      <c r="G61" s="110" t="n"/>
      <c r="H61" s="110" t="n"/>
    </row>
    <row r="62" ht="41.4" customHeight="1">
      <c r="A62" s="97" t="inlineStr">
        <is>
          <t>ART-run_02-REQ</t>
        </is>
      </c>
      <c r="B62" s="111" t="inlineStr">
        <is>
          <t>M3-run_02-REQ-01</t>
        </is>
      </c>
      <c r="C62" s="111" t="inlineStr">
        <is>
          <t>Granularidad</t>
        </is>
      </c>
      <c r="D62" s="218" t="n"/>
      <c r="E62" s="112" t="inlineStr">
        <is>
          <t>registro_requisitos.json / .md (roles)</t>
        </is>
      </c>
      <c r="F62" s="218" t="n"/>
      <c r="G62" s="112" t="inlineStr">
        <is>
          <t>Los roles cliente y administrador no aparecen como requisito independiente, sino implícitos en otros ítems: omisión por granularidad insuficiente en la declaración de actores. Observación no bloqueante de Gate 1.</t>
        </is>
      </c>
      <c r="H62" s="218" t="n"/>
    </row>
    <row r="63">
      <c r="A63" s="64" t="n"/>
      <c r="B63" s="111" t="n"/>
      <c r="C63" s="111" t="n"/>
      <c r="D63" s="218" t="n"/>
      <c r="E63" s="218" t="n"/>
      <c r="F63" s="218" t="n"/>
      <c r="G63" s="218" t="n"/>
      <c r="H63" s="218" t="n"/>
    </row>
    <row r="64">
      <c r="A64" s="64" t="n"/>
      <c r="B64" s="111" t="n"/>
      <c r="C64" s="111" t="n"/>
      <c r="D64" s="218" t="n"/>
      <c r="E64" s="218" t="n"/>
      <c r="F64" s="218" t="n"/>
      <c r="G64" s="218" t="n"/>
      <c r="H64" s="218" t="n"/>
    </row>
    <row r="65" ht="26.4" customHeight="1">
      <c r="A65" s="108" t="inlineStr">
        <is>
          <t>ART-run_02-PLAN</t>
        </is>
      </c>
      <c r="B65" s="109" t="n"/>
      <c r="C65" s="109" t="n"/>
      <c r="D65" s="110" t="n"/>
      <c r="E65" s="110" t="n"/>
      <c r="F65" s="110" t="n"/>
      <c r="G65" s="110" t="n"/>
      <c r="H65" s="110" t="n"/>
    </row>
    <row r="66" ht="55.2" customHeight="1">
      <c r="A66" s="97" t="inlineStr">
        <is>
          <t>ART-run_02-PLAN</t>
        </is>
      </c>
      <c r="B66" s="111" t="inlineStr">
        <is>
          <t>M3-run_02-PLAN-01</t>
        </is>
      </c>
      <c r="C66" s="111" t="inlineStr">
        <is>
          <t>Factual</t>
        </is>
      </c>
      <c r="D66" s="112" t="inlineStr">
        <is>
          <t>Menor</t>
        </is>
      </c>
      <c r="E66" s="112" t="inlineStr">
        <is>
          <t>plan_sprints (entregable Sprint 2)</t>
        </is>
      </c>
      <c r="F66" s="112" t="inlineStr">
        <is>
          <t>backlog (HU-16 asignada a Sprint 3)</t>
        </is>
      </c>
      <c r="G66" s="112" t="inlineStr">
        <is>
          <t>El entregable declarado para el Sprint 2 menciona la consulta por código, pero la HU-16 que materializa esa funcionalidad está asignada al Sprint 3: dos partes del artefacto afirman cosas incompatibles sobre cuándo se entrega esa funcionalidad. Menor: no afecta al núcleo del producto, solo a la planificación interna.</t>
        </is>
      </c>
      <c r="H66" s="218" t="n"/>
    </row>
    <row r="67">
      <c r="A67" s="64" t="n"/>
      <c r="B67" s="111" t="n"/>
      <c r="C67" s="111" t="n"/>
      <c r="D67" s="218" t="n"/>
      <c r="E67" s="218" t="n"/>
      <c r="F67" s="218" t="n"/>
      <c r="G67" s="218" t="n"/>
      <c r="H67" s="218" t="n"/>
    </row>
    <row r="68">
      <c r="A68" s="64" t="n"/>
      <c r="B68" s="111" t="n"/>
      <c r="C68" s="111" t="n"/>
      <c r="D68" s="218" t="n"/>
      <c r="E68" s="218" t="n"/>
      <c r="F68" s="218" t="n"/>
      <c r="G68" s="218" t="n"/>
      <c r="H68" s="218" t="n"/>
    </row>
    <row r="69">
      <c r="A69" s="108" t="inlineStr">
        <is>
          <t>ART-run_02-DIS</t>
        </is>
      </c>
      <c r="B69" s="109" t="n"/>
      <c r="C69" s="109" t="n"/>
      <c r="D69" s="110" t="n"/>
      <c r="E69" s="110" t="n"/>
      <c r="F69" s="110" t="n"/>
      <c r="G69" s="110" t="n"/>
      <c r="H69" s="110" t="n"/>
    </row>
    <row r="70" ht="27.6" customHeight="1">
      <c r="A70" s="97" t="inlineStr">
        <is>
          <t>ART-run_02-DIS</t>
        </is>
      </c>
      <c r="B70" s="111" t="inlineStr">
        <is>
          <t>M3-run_02-DIS-01</t>
        </is>
      </c>
      <c r="C70" s="111" t="inlineStr">
        <is>
          <t>Terminológica</t>
        </is>
      </c>
      <c r="D70" s="218" t="n"/>
      <c r="E70" s="112" t="inlineStr">
        <is>
          <t>diseno_tecnico.json / .md (campo ImageField)</t>
        </is>
      </c>
      <c r="F70" s="218" t="n"/>
      <c r="G70" s="112" t="inlineStr">
        <is>
          <t>ImageField declarado como cadena en lugar de su tipo específico: el mismo concepto recibe una denominación de tipo distinta de la convención del framework. Observación menor de Gate 3.</t>
        </is>
      </c>
      <c r="H70" s="218" t="n"/>
    </row>
    <row r="71" ht="41.4" customHeight="1">
      <c r="A71" s="97" t="inlineStr">
        <is>
          <t>ART-run_02-DIS</t>
        </is>
      </c>
      <c r="B71" s="111" t="inlineStr">
        <is>
          <t>M3-run_02-DIS-02</t>
        </is>
      </c>
      <c r="C71" s="111" t="inlineStr">
        <is>
          <t>Granularidad</t>
        </is>
      </c>
      <c r="D71" s="218" t="n"/>
      <c r="E71" s="112" t="inlineStr">
        <is>
          <t>diseno_tecnico.json / .md (User propio, core/settings, disponibilidad por fechas)</t>
        </is>
      </c>
      <c r="F71" s="218" t="n"/>
      <c r="G71" s="112" t="inlineStr">
        <is>
          <t>Observaciones técnicas agrupadas sobre granularidad desigual del diseño: User propio, organización de core/settings y cálculo de disponibilidad por fechas se documentan a niveles de detalle inconsistentes entre sí. Observaciones menores de Gate 3.</t>
        </is>
      </c>
      <c r="H71" s="218" t="n"/>
    </row>
    <row r="72">
      <c r="A72" s="64" t="n"/>
      <c r="B72" s="111" t="n"/>
      <c r="C72" s="111" t="n"/>
      <c r="D72" s="218" t="n"/>
      <c r="E72" s="218" t="n"/>
      <c r="F72" s="218" t="n"/>
      <c r="G72" s="218" t="n"/>
      <c r="H72" s="218" t="n"/>
    </row>
    <row r="73" ht="26.4" customHeight="1">
      <c r="A73" s="108" t="inlineStr">
        <is>
          <t>ART-run_02-SEG-S1</t>
        </is>
      </c>
      <c r="B73" s="109" t="n"/>
      <c r="C73" s="109" t="n"/>
      <c r="D73" s="110" t="n"/>
      <c r="E73" s="110" t="n"/>
      <c r="F73" s="110" t="n"/>
      <c r="G73" s="110" t="n"/>
      <c r="H73" s="110" t="n"/>
    </row>
    <row r="74">
      <c r="A74" s="64" t="n"/>
      <c r="B74" s="111" t="n"/>
      <c r="C74" s="111" t="n"/>
      <c r="D74" s="218" t="n"/>
      <c r="E74" s="218" t="n"/>
      <c r="F74" s="218" t="n"/>
      <c r="G74" s="218" t="n"/>
      <c r="H74" s="218" t="n"/>
    </row>
    <row r="75">
      <c r="A75" s="64" t="n"/>
      <c r="B75" s="111" t="n"/>
      <c r="C75" s="111" t="n"/>
      <c r="D75" s="218" t="n"/>
      <c r="E75" s="218" t="n"/>
      <c r="F75" s="218" t="n"/>
      <c r="G75" s="218" t="n"/>
      <c r="H75" s="218" t="n"/>
    </row>
    <row r="76">
      <c r="A76" s="64" t="n"/>
      <c r="B76" s="111" t="n"/>
      <c r="C76" s="111" t="n"/>
      <c r="D76" s="218" t="n"/>
      <c r="E76" s="218" t="n"/>
      <c r="F76" s="218" t="n"/>
      <c r="G76" s="218" t="n"/>
      <c r="H76" s="218" t="n"/>
    </row>
    <row r="77" ht="26.4" customHeight="1">
      <c r="A77" s="108" t="inlineStr">
        <is>
          <t>ART-run_02-SEG-S2</t>
        </is>
      </c>
      <c r="B77" s="109" t="n"/>
      <c r="C77" s="109" t="n"/>
      <c r="D77" s="110" t="n"/>
      <c r="E77" s="110" t="n"/>
      <c r="F77" s="110" t="n"/>
      <c r="G77" s="110" t="n"/>
      <c r="H77" s="110" t="n"/>
    </row>
    <row r="78">
      <c r="A78" s="64" t="n"/>
      <c r="B78" s="111" t="n"/>
      <c r="C78" s="111" t="n"/>
      <c r="D78" s="218" t="n"/>
      <c r="E78" s="218" t="n"/>
      <c r="F78" s="218" t="n"/>
      <c r="G78" s="218" t="n"/>
      <c r="H78" s="218" t="n"/>
    </row>
    <row r="79">
      <c r="A79" s="64" t="n"/>
      <c r="B79" s="111" t="n"/>
      <c r="C79" s="111" t="n"/>
      <c r="D79" s="218" t="n"/>
      <c r="E79" s="218" t="n"/>
      <c r="F79" s="218" t="n"/>
      <c r="G79" s="218" t="n"/>
      <c r="H79" s="218" t="n"/>
    </row>
    <row r="80">
      <c r="A80" s="64" t="n"/>
      <c r="B80" s="111" t="n"/>
      <c r="C80" s="111" t="n"/>
      <c r="D80" s="218" t="n"/>
      <c r="E80" s="218" t="n"/>
      <c r="F80" s="218" t="n"/>
      <c r="G80" s="218" t="n"/>
      <c r="H80" s="218" t="n"/>
    </row>
    <row r="81" ht="26.4" customHeight="1">
      <c r="A81" s="108" t="inlineStr">
        <is>
          <t>ART-run_02-SEG-S3</t>
        </is>
      </c>
      <c r="B81" s="109" t="n"/>
      <c r="C81" s="109" t="n"/>
      <c r="D81" s="110" t="n"/>
      <c r="E81" s="110" t="n"/>
      <c r="F81" s="110" t="n"/>
      <c r="G81" s="110" t="n"/>
      <c r="H81" s="110" t="n"/>
    </row>
    <row r="82">
      <c r="A82" s="64" t="n"/>
      <c r="B82" s="111" t="n"/>
      <c r="C82" s="111" t="n"/>
      <c r="D82" s="218" t="n"/>
      <c r="E82" s="218" t="n"/>
      <c r="F82" s="218" t="n"/>
      <c r="G82" s="218" t="n"/>
      <c r="H82" s="218" t="n"/>
    </row>
    <row r="83">
      <c r="A83" s="64" t="n"/>
      <c r="B83" s="111" t="n"/>
      <c r="C83" s="111" t="n"/>
      <c r="D83" s="218" t="n"/>
      <c r="E83" s="218" t="n"/>
      <c r="F83" s="218" t="n"/>
      <c r="G83" s="218" t="n"/>
      <c r="H83" s="218" t="n"/>
    </row>
    <row r="84">
      <c r="A84" s="64" t="n"/>
      <c r="B84" s="111" t="n"/>
      <c r="C84" s="111" t="n"/>
      <c r="D84" s="218" t="n"/>
      <c r="E84" s="218" t="n"/>
      <c r="F84" s="218" t="n"/>
      <c r="G84" s="218" t="n"/>
      <c r="H84" s="218" t="n"/>
    </row>
    <row r="85">
      <c r="A85" s="108" t="inlineStr">
        <is>
          <t>ART-run_02-CIE</t>
        </is>
      </c>
      <c r="B85" s="109" t="n"/>
      <c r="C85" s="109" t="n"/>
      <c r="D85" s="110" t="n"/>
      <c r="E85" s="110" t="n"/>
      <c r="F85" s="110" t="n"/>
      <c r="G85" s="110" t="n"/>
      <c r="H85" s="110" t="n"/>
    </row>
    <row r="86">
      <c r="A86" s="64" t="n"/>
      <c r="B86" s="111" t="n"/>
      <c r="C86" s="111" t="n"/>
      <c r="D86" s="218" t="n"/>
      <c r="E86" s="218" t="n"/>
      <c r="F86" s="218" t="n"/>
      <c r="G86" s="218" t="n"/>
      <c r="H86" s="218" t="n"/>
    </row>
    <row r="87">
      <c r="A87" s="64" t="n"/>
      <c r="B87" s="111" t="n"/>
      <c r="C87" s="111" t="n"/>
      <c r="D87" s="218" t="n"/>
      <c r="E87" s="218" t="n"/>
      <c r="F87" s="218" t="n"/>
      <c r="G87" s="218" t="n"/>
      <c r="H87" s="218" t="n"/>
    </row>
    <row r="88">
      <c r="A88" s="64" t="n"/>
      <c r="B88" s="111" t="n"/>
      <c r="C88" s="111" t="n"/>
      <c r="D88" s="218" t="n"/>
      <c r="E88" s="218" t="n"/>
      <c r="F88" s="218" t="n"/>
      <c r="G88" s="218" t="n"/>
      <c r="H88" s="218" t="n"/>
    </row>
    <row r="89">
      <c r="A89" s="108" t="inlineStr">
        <is>
          <t>ART-run_03-REQ</t>
        </is>
      </c>
      <c r="B89" s="109" t="n"/>
      <c r="C89" s="109" t="n"/>
      <c r="D89" s="110" t="n"/>
      <c r="E89" s="110" t="n"/>
      <c r="F89" s="110" t="n"/>
      <c r="G89" s="110" t="n"/>
      <c r="H89" s="110" t="n"/>
    </row>
    <row r="90">
      <c r="A90" s="64" t="n"/>
      <c r="B90" s="111" t="n"/>
      <c r="C90" s="111" t="n"/>
      <c r="D90" s="218" t="n"/>
      <c r="E90" s="218" t="n"/>
      <c r="F90" s="218" t="n"/>
      <c r="G90" s="218" t="n"/>
      <c r="H90" s="218" t="n"/>
    </row>
    <row r="91">
      <c r="A91" s="64" t="n"/>
      <c r="B91" s="111" t="n"/>
      <c r="C91" s="111" t="n"/>
      <c r="D91" s="218" t="n"/>
      <c r="E91" s="218" t="n"/>
      <c r="F91" s="218" t="n"/>
      <c r="G91" s="218" t="n"/>
      <c r="H91" s="218" t="n"/>
    </row>
    <row r="92">
      <c r="A92" s="64" t="n"/>
      <c r="B92" s="111" t="n"/>
      <c r="C92" s="111" t="n"/>
      <c r="D92" s="218" t="n"/>
      <c r="E92" s="218" t="n"/>
      <c r="F92" s="218" t="n"/>
      <c r="G92" s="218" t="n"/>
      <c r="H92" s="218" t="n"/>
    </row>
    <row r="93" ht="26.4" customHeight="1">
      <c r="A93" s="108" t="inlineStr">
        <is>
          <t>ART-run_03-PLAN</t>
        </is>
      </c>
      <c r="B93" s="109" t="n"/>
      <c r="C93" s="109" t="n"/>
      <c r="D93" s="110" t="n"/>
      <c r="E93" s="110" t="n"/>
      <c r="F93" s="110" t="n"/>
      <c r="G93" s="110" t="n"/>
      <c r="H93" s="110" t="n"/>
    </row>
    <row r="94" ht="27.6" customHeight="1">
      <c r="A94" s="97" t="inlineStr">
        <is>
          <t>ART-run_03-PLAN</t>
        </is>
      </c>
      <c r="B94" s="111" t="inlineStr">
        <is>
          <t>M3-run_03-PLAN-01</t>
        </is>
      </c>
      <c r="C94" s="111" t="inlineStr">
        <is>
          <t>Granularidad</t>
        </is>
      </c>
      <c r="D94" s="218" t="n"/>
      <c r="E94" s="112" t="inlineStr">
        <is>
          <t>plan_sprints / backlog (reparto y detalle)</t>
        </is>
      </c>
      <c r="F94" s="218" t="n"/>
      <c r="G94" s="112" t="inlineStr">
        <is>
          <t>Observación menor de planificación señalada por Gate 2: el reparto/granularidad de algunos ítems del backlog presenta detalle desigual, sin llegar a incoherencia bloqueante.</t>
        </is>
      </c>
      <c r="H94" s="218" t="n"/>
    </row>
    <row r="95">
      <c r="A95" s="64" t="n"/>
      <c r="B95" s="111" t="n"/>
      <c r="C95" s="111" t="n"/>
      <c r="D95" s="218" t="n"/>
      <c r="E95" s="218" t="n"/>
      <c r="F95" s="218" t="n"/>
      <c r="G95" s="218" t="n"/>
      <c r="H95" s="218" t="n"/>
    </row>
    <row r="96">
      <c r="A96" s="64" t="n"/>
      <c r="B96" s="111" t="n"/>
      <c r="C96" s="111" t="n"/>
      <c r="D96" s="218" t="n"/>
      <c r="E96" s="218" t="n"/>
      <c r="F96" s="218" t="n"/>
      <c r="G96" s="218" t="n"/>
      <c r="H96" s="218" t="n"/>
    </row>
    <row r="97">
      <c r="A97" s="108" t="inlineStr">
        <is>
          <t>ART-run_03-DIS</t>
        </is>
      </c>
      <c r="B97" s="109" t="n"/>
      <c r="C97" s="109" t="n"/>
      <c r="D97" s="110" t="n"/>
      <c r="E97" s="110" t="n"/>
      <c r="F97" s="110" t="n"/>
      <c r="G97" s="110" t="n"/>
      <c r="H97" s="110" t="n"/>
    </row>
    <row r="98" ht="27.6" customHeight="1">
      <c r="A98" s="97" t="inlineStr">
        <is>
          <t>ART-run_03-DIS</t>
        </is>
      </c>
      <c r="B98" s="111" t="inlineStr">
        <is>
          <t>M3-run_03-DIS-01</t>
        </is>
      </c>
      <c r="C98" s="111" t="inlineStr">
        <is>
          <t>Terminológica</t>
        </is>
      </c>
      <c r="D98" s="218" t="n"/>
      <c r="E98" s="112" t="inlineStr">
        <is>
          <t>diseno_tecnico.json / .md (campo ImageField)</t>
        </is>
      </c>
      <c r="F98" s="218" t="n"/>
      <c r="G98" s="112" t="inlineStr">
        <is>
          <t>ImageField declarado como cadena en lugar del tipo específico del framework: misma observación terminológica que en run_02. Observación menor de Gate 3.</t>
        </is>
      </c>
      <c r="H98" s="218" t="n"/>
    </row>
    <row r="99" ht="27.6" customHeight="1">
      <c r="A99" s="97" t="inlineStr">
        <is>
          <t>ART-run_03-DIS</t>
        </is>
      </c>
      <c r="B99" s="111" t="inlineStr">
        <is>
          <t>M3-run_03-DIS-02</t>
        </is>
      </c>
      <c r="C99" s="111" t="inlineStr">
        <is>
          <t>Terminológica</t>
        </is>
      </c>
      <c r="D99" s="218" t="n"/>
      <c r="E99" s="112" t="inlineStr">
        <is>
          <t>diseno_tecnico.json / .md (namespace admin)</t>
        </is>
      </c>
      <c r="F99" s="112" t="inlineStr">
        <is>
          <t>diseno_tecnico.json / .md (namespace admin_panel)</t>
        </is>
      </c>
      <c r="G99" s="112" t="inlineStr">
        <is>
          <t>El mismo concepto de panel de administración recibe dos nombres distintos en el diseño: admin y admin_panel, sin justificación. Observación menor de Gate 3.</t>
        </is>
      </c>
      <c r="H99" s="218" t="n"/>
    </row>
    <row r="100" ht="41.4" customHeight="1">
      <c r="A100" s="97" t="inlineStr">
        <is>
          <t>ART-run_03-DIS</t>
        </is>
      </c>
      <c r="B100" s="111" t="inlineStr">
        <is>
          <t>M3-run_03-DIS-03</t>
        </is>
      </c>
      <c r="C100" s="111" t="inlineStr">
        <is>
          <t>Granularidad</t>
        </is>
      </c>
      <c r="D100" s="218" t="n"/>
      <c r="E100" s="112" t="inlineStr">
        <is>
          <t>diseno_tecnico.json / .md (core/settings, cálculo de disponibilidad)</t>
        </is>
      </c>
      <c r="F100" s="218" t="n"/>
      <c r="G100" s="112" t="inlineStr">
        <is>
          <t>Observaciones técnicas sobre granularidad desigual del diseño: organización de core/settings y cálculo de disponibilidad documentados a niveles de detalle inconsistentes. Observaciones menores de Gate 3.</t>
        </is>
      </c>
      <c r="H100" s="218" t="n"/>
    </row>
    <row r="101" ht="26.4" customHeight="1">
      <c r="A101" s="108" t="inlineStr">
        <is>
          <t>ART-run_03-SEG-S1</t>
        </is>
      </c>
      <c r="B101" s="109" t="n"/>
      <c r="C101" s="109" t="n"/>
      <c r="D101" s="110" t="n"/>
      <c r="E101" s="110" t="n"/>
      <c r="F101" s="110" t="n"/>
      <c r="G101" s="110" t="n"/>
      <c r="H101" s="110" t="n"/>
    </row>
    <row r="102">
      <c r="A102" s="64" t="n"/>
      <c r="B102" s="111" t="n"/>
      <c r="C102" s="111" t="n"/>
      <c r="D102" s="218" t="n"/>
      <c r="E102" s="218" t="n"/>
      <c r="F102" s="218" t="n"/>
      <c r="G102" s="218" t="n"/>
      <c r="H102" s="218" t="n"/>
    </row>
    <row r="103">
      <c r="A103" s="64" t="n"/>
      <c r="B103" s="111" t="n"/>
      <c r="C103" s="111" t="n"/>
      <c r="D103" s="218" t="n"/>
      <c r="E103" s="218" t="n"/>
      <c r="F103" s="218" t="n"/>
      <c r="G103" s="218" t="n"/>
      <c r="H103" s="218" t="n"/>
    </row>
    <row r="104">
      <c r="A104" s="64" t="n"/>
      <c r="B104" s="111" t="n"/>
      <c r="C104" s="111" t="n"/>
      <c r="D104" s="218" t="n"/>
      <c r="E104" s="218" t="n"/>
      <c r="F104" s="218" t="n"/>
      <c r="G104" s="218" t="n"/>
      <c r="H104" s="218" t="n"/>
    </row>
    <row r="105" ht="26.4" customHeight="1">
      <c r="A105" s="108" t="inlineStr">
        <is>
          <t>ART-run_03-SEG-S2</t>
        </is>
      </c>
      <c r="B105" s="109" t="n"/>
      <c r="C105" s="109" t="n"/>
      <c r="D105" s="110" t="n"/>
      <c r="E105" s="110" t="n"/>
      <c r="F105" s="110" t="n"/>
      <c r="G105" s="110" t="n"/>
      <c r="H105" s="110" t="n"/>
    </row>
    <row r="106">
      <c r="A106" s="64" t="n"/>
      <c r="B106" s="111" t="n"/>
      <c r="C106" s="111" t="n"/>
      <c r="D106" s="218" t="n"/>
      <c r="E106" s="218" t="n"/>
      <c r="F106" s="218" t="n"/>
      <c r="G106" s="218" t="n"/>
      <c r="H106" s="218" t="n"/>
    </row>
    <row r="107">
      <c r="A107" s="64" t="n"/>
      <c r="B107" s="111" t="n"/>
      <c r="C107" s="111" t="n"/>
      <c r="D107" s="218" t="n"/>
      <c r="E107" s="218" t="n"/>
      <c r="F107" s="218" t="n"/>
      <c r="G107" s="218" t="n"/>
      <c r="H107" s="218" t="n"/>
    </row>
    <row r="108">
      <c r="A108" s="64" t="n"/>
      <c r="B108" s="111" t="n"/>
      <c r="C108" s="111" t="n"/>
      <c r="D108" s="218" t="n"/>
      <c r="E108" s="218" t="n"/>
      <c r="F108" s="218" t="n"/>
      <c r="G108" s="218" t="n"/>
      <c r="H108" s="218" t="n"/>
    </row>
    <row r="109" ht="26.4" customHeight="1">
      <c r="A109" s="108" t="inlineStr">
        <is>
          <t>ART-run_03-SEG-S3</t>
        </is>
      </c>
      <c r="B109" s="109" t="n"/>
      <c r="C109" s="109" t="n"/>
      <c r="D109" s="110" t="n"/>
      <c r="E109" s="110" t="n"/>
      <c r="F109" s="110" t="n"/>
      <c r="G109" s="110" t="n"/>
      <c r="H109" s="110" t="n"/>
    </row>
    <row r="110">
      <c r="A110" s="64" t="n"/>
      <c r="B110" s="111" t="n"/>
      <c r="C110" s="111" t="n"/>
      <c r="D110" s="218" t="n"/>
      <c r="E110" s="218" t="n"/>
      <c r="F110" s="218" t="n"/>
      <c r="G110" s="218" t="n"/>
      <c r="H110" s="218" t="n"/>
    </row>
    <row r="111">
      <c r="A111" s="64" t="n"/>
      <c r="B111" s="111" t="n"/>
      <c r="C111" s="111" t="n"/>
      <c r="D111" s="218" t="n"/>
      <c r="E111" s="218" t="n"/>
      <c r="F111" s="218" t="n"/>
      <c r="G111" s="218" t="n"/>
      <c r="H111" s="218" t="n"/>
    </row>
    <row r="112">
      <c r="A112" s="64" t="n"/>
      <c r="B112" s="111" t="n"/>
      <c r="C112" s="111" t="n"/>
      <c r="D112" s="218" t="n"/>
      <c r="E112" s="218" t="n"/>
      <c r="F112" s="218" t="n"/>
      <c r="G112" s="218" t="n"/>
      <c r="H112" s="218" t="n"/>
    </row>
    <row r="113">
      <c r="A113" s="108" t="inlineStr">
        <is>
          <t>ART-run_03-CIE</t>
        </is>
      </c>
      <c r="B113" s="109" t="n"/>
      <c r="C113" s="109" t="n"/>
      <c r="D113" s="110" t="n"/>
      <c r="E113" s="110" t="n"/>
      <c r="F113" s="110" t="n"/>
      <c r="G113" s="110" t="n"/>
      <c r="H113" s="110" t="n"/>
    </row>
    <row r="114">
      <c r="A114" s="64" t="n"/>
      <c r="B114" s="111" t="n"/>
      <c r="C114" s="111" t="n"/>
      <c r="D114" s="218" t="n"/>
      <c r="E114" s="218" t="n"/>
      <c r="F114" s="218" t="n"/>
      <c r="G114" s="218" t="n"/>
      <c r="H114" s="218" t="n"/>
    </row>
    <row r="115">
      <c r="A115" s="64" t="n"/>
      <c r="B115" s="111" t="n"/>
      <c r="C115" s="111" t="n"/>
      <c r="D115" s="218" t="n"/>
      <c r="E115" s="218" t="n"/>
      <c r="F115" s="218" t="n"/>
      <c r="G115" s="218" t="n"/>
      <c r="H115" s="218" t="n"/>
    </row>
    <row r="116">
      <c r="A116" s="64" t="n"/>
      <c r="B116" s="111" t="n"/>
      <c r="C116" s="111" t="n"/>
      <c r="D116" s="218" t="n"/>
      <c r="E116" s="218" t="n"/>
      <c r="F116" s="218" t="n"/>
      <c r="G116" s="218" t="n"/>
      <c r="H116" s="218" t="n"/>
    </row>
  </sheetData>
  <mergeCells count="2">
    <mergeCell ref="A2:H2"/>
    <mergeCell ref="A1:H1"/>
  </mergeCells>
  <dataValidations count="2">
    <dataValidation sqref="C5:C116" showDropDown="0" showInputMessage="0" showErrorMessage="0" allowBlank="1" type="list">
      <formula1>"Factual,Terminológica,Granularidad,Prioridad/estado"</formula1>
      <formula2>0</formula2>
    </dataValidation>
    <dataValidation sqref="D5:D116" showDropDown="0" showInputMessage="0" showErrorMessage="0" allowBlank="1" type="list">
      <formula1>"Mayor,Menor,—"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5"/>
  <sheetViews>
    <sheetView zoomScale="70" zoomScaleNormal="70" workbookViewId="0">
      <pane ySplit="4" topLeftCell="A34" activePane="bottomLeft" state="frozen"/>
      <selection pane="bottomLeft" activeCell="K1" sqref="K1:M1"/>
    </sheetView>
  </sheetViews>
  <sheetFormatPr baseColWidth="10" defaultColWidth="8.6640625" defaultRowHeight="13.2"/>
  <cols>
    <col width="12.6640625" bestFit="1" customWidth="1" style="198" min="1" max="1"/>
    <col width="14.109375" bestFit="1" customWidth="1" style="198" min="2" max="2"/>
    <col width="29.88671875" customWidth="1" style="200" min="3" max="3"/>
    <col width="13" bestFit="1" customWidth="1" style="198" min="4" max="4"/>
    <col width="11.5546875" bestFit="1" customWidth="1" style="198" min="5" max="5"/>
    <col width="11.33203125" bestFit="1" customWidth="1" style="198" min="6" max="6"/>
    <col width="14.6640625" bestFit="1" customWidth="1" style="198" min="7" max="7"/>
    <col width="8.21875" bestFit="1" customWidth="1" style="198" min="8" max="8"/>
    <col width="65.109375" customWidth="1" style="200" min="9" max="9"/>
    <col width="71.77734375" customWidth="1" style="200" min="10" max="10"/>
    <col width="8.6640625" customWidth="1" style="200" min="11" max="16"/>
    <col width="8.6640625" customWidth="1" style="200" min="17" max="16384"/>
  </cols>
  <sheetData>
    <row r="1">
      <c r="A1" s="203" t="inlineStr">
        <is>
          <t>R1/M4 — Verificación ítem a ítem de trazabilidad</t>
        </is>
      </c>
    </row>
    <row r="2">
      <c r="A2" s="197" t="inlineStr">
        <is>
          <t>Esta hoja documenta ítem a ítem los artefactos del baseline. La trazabilidad del pipeline se documenta mediante la capa automática descrita en el TFG y sus resultados agregados aparecen en las columnas K, L y M de 02_R1_sintesis_artefactos. Una fila por ítem del artefacto (RF/RNF/HU/etc.). Marca 1/0 si presenta enlace verificable aguas arriba y aguas abajo. Si la familia ocupa un extremo de la cadena, solo se exige una dirección.</t>
        </is>
      </c>
    </row>
    <row r="3">
      <c r="A3" s="88" t="n"/>
    </row>
    <row r="4" ht="39.6" customHeight="1">
      <c r="A4" s="82" t="inlineStr">
        <is>
          <t>ID artefacto</t>
        </is>
      </c>
      <c r="B4" s="82" t="inlineStr">
        <is>
          <t>Item ID</t>
        </is>
      </c>
      <c r="C4" s="82" t="inlineStr">
        <is>
          <t>Item descripción corta</t>
        </is>
      </c>
      <c r="D4" s="82" t="inlineStr">
        <is>
          <t>Tipo matching (ID/textual)</t>
        </is>
      </c>
      <c r="E4" s="82" t="inlineStr">
        <is>
          <t>Aguas arriba (1/0)</t>
        </is>
      </c>
      <c r="F4" s="82" t="inlineStr">
        <is>
          <t>Aguas abajo (1/0)</t>
        </is>
      </c>
      <c r="G4" s="82" t="inlineStr">
        <is>
          <t>¿Es extremo de cadena? (Si/No)</t>
        </is>
      </c>
      <c r="H4" s="82" t="inlineStr">
        <is>
          <t>Trazable (calc)</t>
        </is>
      </c>
      <c r="I4" s="82" t="inlineStr">
        <is>
          <t>Evidencia/cita</t>
        </is>
      </c>
      <c r="J4" s="82" t="inlineStr">
        <is>
          <t>Observaciones</t>
        </is>
      </c>
    </row>
    <row r="5" ht="26.4" customFormat="1" customHeight="1" s="199">
      <c r="A5" s="89" t="inlineStr">
        <is>
          <t>ART-B-REQ</t>
        </is>
      </c>
      <c r="B5" s="85" t="inlineStr">
        <is>
          <t>RF1</t>
        </is>
      </c>
      <c r="C5" s="83" t="inlineStr">
        <is>
          <t>Barcos visibles para alquiler</t>
        </is>
      </c>
      <c r="D5" s="85" t="inlineStr">
        <is>
          <t>Textual</t>
        </is>
      </c>
      <c r="E5" s="85" t="n"/>
      <c r="F5" s="85" t="n">
        <v>1</v>
      </c>
      <c r="G5" s="85" t="inlineStr">
        <is>
          <t>Sí</t>
        </is>
      </c>
      <c r="H5" s="87">
        <f>IF(F5=1,1,0)</f>
        <v/>
      </c>
      <c r="I5" s="83" t="inlineStr">
        <is>
          <t>Matriz RF1 vincula barcos visibles con Front End y pruebas funcionales. Product Backlog S1/S2/S3 cita RF1 literal y lo marca Terminado.</t>
        </is>
      </c>
      <c r="J5" s="83" t="n"/>
    </row>
    <row r="6" ht="39.6" customHeight="1">
      <c r="A6" s="89" t="inlineStr">
        <is>
          <t>ART-B-REQ</t>
        </is>
      </c>
      <c r="B6" s="85" t="inlineStr">
        <is>
          <t>RNF1</t>
        </is>
      </c>
      <c r="C6" s="83" t="inlineStr">
        <is>
          <t>Mecanismo simple para aumentar/disminuir tiempo de alquiler</t>
        </is>
      </c>
      <c r="D6" s="85" t="inlineStr">
        <is>
          <t>Textual</t>
        </is>
      </c>
      <c r="E6" s="85" t="n"/>
      <c r="F6" s="85" t="n">
        <v>1</v>
      </c>
      <c r="G6" s="85" t="inlineStr">
        <is>
          <t>Sí</t>
        </is>
      </c>
      <c r="H6" s="87">
        <f>IF(F6=1,1,0)</f>
        <v/>
      </c>
      <c r="I6" s="83" t="inlineStr">
        <is>
          <t>Matriz RNF1 vincula tiempo de alquiler con Front End y pruebas de satisfaccion. Product Backlog S1/S2/S3 cita RNF1 literal y lo marca Terminado.</t>
        </is>
      </c>
      <c r="J6" s="83" t="n"/>
    </row>
    <row r="7" ht="26.4" customHeight="1">
      <c r="A7" s="89" t="inlineStr">
        <is>
          <t>ART-B-REQ</t>
        </is>
      </c>
      <c r="B7" s="85" t="inlineStr">
        <is>
          <t>RF2</t>
        </is>
      </c>
      <c r="C7" s="83" t="inlineStr">
        <is>
          <t>Categorias de barcos iguales a las que se  ofertan</t>
        </is>
      </c>
      <c r="D7" s="85" t="inlineStr">
        <is>
          <t>Textual</t>
        </is>
      </c>
      <c r="E7" s="85" t="n"/>
      <c r="F7" s="85" t="n">
        <v>1</v>
      </c>
      <c r="G7" s="85" t="inlineStr">
        <is>
          <t>Sí</t>
        </is>
      </c>
      <c r="H7" s="87">
        <f>IF(F7=1,1,0)</f>
        <v/>
      </c>
      <c r="I7" s="83" t="inlineStr">
        <is>
          <t>Matriz RF2 vincula categorias de barcos con Front End/Back End. Product Backlog S1/S2/S3 cita RF2 literal y lo marca Terminado.</t>
        </is>
      </c>
      <c r="J7" s="83" t="n"/>
    </row>
    <row r="8" ht="26.4" customHeight="1">
      <c r="A8" s="89" t="inlineStr">
        <is>
          <t>ART-B-REQ</t>
        </is>
      </c>
      <c r="B8" s="85" t="inlineStr">
        <is>
          <t>RF3</t>
        </is>
      </c>
      <c r="C8" s="83" t="inlineStr">
        <is>
          <t>Alquiler sin requerir inicio de sesion</t>
        </is>
      </c>
      <c r="D8" s="85" t="inlineStr">
        <is>
          <t>Textual</t>
        </is>
      </c>
      <c r="E8" s="85" t="n"/>
      <c r="F8" s="85" t="n">
        <v>1</v>
      </c>
      <c r="G8" s="85" t="inlineStr">
        <is>
          <t>Sí</t>
        </is>
      </c>
      <c r="H8" s="87">
        <f>IF(F8=1,1,0)</f>
        <v/>
      </c>
      <c r="I8" s="83" t="inlineStr">
        <is>
          <t>Matriz RF3 vincula alquiler sin sesion con Back End. Product Backlog S2/S3 cita RF3 literal; S3 lo marca Terminado.</t>
        </is>
      </c>
      <c r="J8" s="83" t="n"/>
    </row>
    <row r="9" ht="26.4" customHeight="1">
      <c r="A9" s="89" t="inlineStr">
        <is>
          <t>ART-B-REQ</t>
        </is>
      </c>
      <c r="B9" s="85" t="inlineStr">
        <is>
          <t>RNF2</t>
        </is>
      </c>
      <c r="C9" s="83" t="inlineStr">
        <is>
          <t>Modificacion de datos de cuenta del cliente</t>
        </is>
      </c>
      <c r="D9" s="85" t="inlineStr">
        <is>
          <t>Textual</t>
        </is>
      </c>
      <c r="E9" s="85" t="n"/>
      <c r="F9" s="85" t="n">
        <v>1</v>
      </c>
      <c r="G9" s="85" t="inlineStr">
        <is>
          <t>Sí</t>
        </is>
      </c>
      <c r="H9" s="87">
        <f>IF(F9=1,1,0)</f>
        <v/>
      </c>
      <c r="I9" s="83" t="inlineStr">
        <is>
          <t>Matriz RNF2 vincula modificacion de datos de cuenta con Back End. Product Backlog S1/S2/S3 cita RNF2 literal y lo marca Terminado.</t>
        </is>
      </c>
      <c r="J9" s="83" t="n"/>
    </row>
    <row r="10" ht="26.4" customHeight="1">
      <c r="A10" s="89" t="inlineStr">
        <is>
          <t>ART-B-REQ</t>
        </is>
      </c>
      <c r="B10" s="85" t="inlineStr">
        <is>
          <t>RNF3</t>
        </is>
      </c>
      <c r="C10" s="83" t="inlineStr">
        <is>
          <t>Seguridad percibida durante el proceso del alquiler</t>
        </is>
      </c>
      <c r="D10" s="85" t="inlineStr">
        <is>
          <t>Textual</t>
        </is>
      </c>
      <c r="E10" s="85" t="n"/>
      <c r="F10" s="85" t="n">
        <v>1</v>
      </c>
      <c r="G10" s="85" t="inlineStr">
        <is>
          <t>Sí</t>
        </is>
      </c>
      <c r="H10" s="87">
        <f>IF(F10=1,1,0)</f>
        <v/>
      </c>
      <c r="I10" s="83" t="inlineStr">
        <is>
          <t>Matriz RNF3 vincula seguridad del proceso con Front End y satisfaccion. Product Backlog S3 cita RNF3 literal y lo marca Terminado.</t>
        </is>
      </c>
      <c r="J10" s="83" t="n"/>
    </row>
    <row r="11" ht="26.4" customHeight="1">
      <c r="A11" s="89" t="inlineStr">
        <is>
          <t>ART-B-REQ</t>
        </is>
      </c>
      <c r="B11" s="85" t="inlineStr">
        <is>
          <t>RNF4</t>
        </is>
      </c>
      <c r="C11" s="83" t="inlineStr">
        <is>
          <t>Página escrita en español</t>
        </is>
      </c>
      <c r="D11" s="85" t="inlineStr">
        <is>
          <t>Textual</t>
        </is>
      </c>
      <c r="E11" s="85" t="n"/>
      <c r="F11" s="85" t="n">
        <v>1</v>
      </c>
      <c r="G11" s="85" t="inlineStr">
        <is>
          <t>Sí</t>
        </is>
      </c>
      <c r="H11" s="87">
        <f>IF(F11=1,1,0)</f>
        <v/>
      </c>
      <c r="I11" s="83" t="inlineStr">
        <is>
          <t>Matriz RNF4 vincula idioma español con Front End/Back End. Product Backlog S1/S2/S3 cita RNF4 literal y lo marca Terminado.</t>
        </is>
      </c>
      <c r="J11" s="83" t="n"/>
    </row>
    <row r="12" ht="26.4" customHeight="1">
      <c r="A12" s="89" t="inlineStr">
        <is>
          <t>ART-B-REQ</t>
        </is>
      </c>
      <c r="B12" s="85" t="inlineStr">
        <is>
          <t>RF4</t>
        </is>
      </c>
      <c r="C12" s="83" t="inlineStr">
        <is>
          <t>Identificación/login por correo y contraseña</t>
        </is>
      </c>
      <c r="D12" s="85" t="inlineStr">
        <is>
          <t>Textual</t>
        </is>
      </c>
      <c r="E12" s="85" t="n"/>
      <c r="F12" s="85" t="n">
        <v>1</v>
      </c>
      <c r="G12" s="85" t="inlineStr">
        <is>
          <t>Sí</t>
        </is>
      </c>
      <c r="H12" s="87">
        <f>IF(F12=1,1,0)</f>
        <v/>
      </c>
      <c r="I12" s="83" t="inlineStr">
        <is>
          <t>Matriz RF4 vincula login por correo/contraseña con Front End/Back End. Product Backlog S1/S2/S3 cita RF4 literal y lo marca Terminado.</t>
        </is>
      </c>
      <c r="J12" s="83" t="n"/>
    </row>
    <row r="13" ht="26.4" customHeight="1">
      <c r="A13" s="90" t="inlineStr">
        <is>
          <t>ART-B-REQ</t>
        </is>
      </c>
      <c r="B13" s="85" t="inlineStr">
        <is>
          <t>RF5</t>
        </is>
      </c>
      <c r="C13" s="83" t="inlineStr">
        <is>
          <t>Acceso al tiempo restante de alquiler</t>
        </is>
      </c>
      <c r="D13" s="85" t="inlineStr">
        <is>
          <t>Textual</t>
        </is>
      </c>
      <c r="E13" s="85" t="n"/>
      <c r="F13" s="85" t="n">
        <v>1</v>
      </c>
      <c r="G13" s="85" t="inlineStr">
        <is>
          <t>Sí</t>
        </is>
      </c>
      <c r="H13" s="87">
        <f>IF(F13=1,1,0)</f>
        <v/>
      </c>
      <c r="I13" s="83" t="inlineStr">
        <is>
          <t>Matriz RF5 vincula tiempo restante de alquiler con Front End. Product Backlog S3 cita RF5 literal y lo marca Terminado.</t>
        </is>
      </c>
      <c r="J13" s="83" t="n"/>
    </row>
    <row r="14" ht="26.4" customHeight="1">
      <c r="A14" s="90" t="inlineStr">
        <is>
          <t>ART-B-REQ</t>
        </is>
      </c>
      <c r="B14" s="85" t="inlineStr">
        <is>
          <t>RF6</t>
        </is>
      </c>
      <c r="C14" s="83" t="inlineStr">
        <is>
          <t>Barcos no disponibles claramente marcados</t>
        </is>
      </c>
      <c r="D14" s="85" t="inlineStr">
        <is>
          <t>Textual</t>
        </is>
      </c>
      <c r="E14" s="85" t="n"/>
      <c r="F14" s="85" t="n">
        <v>1</v>
      </c>
      <c r="G14" s="85" t="inlineStr">
        <is>
          <t>Sí</t>
        </is>
      </c>
      <c r="H14" s="87">
        <f>IF(F14=1,1,0)</f>
        <v/>
      </c>
      <c r="I14" s="83" t="inlineStr">
        <is>
          <t>Matriz RF6 vincula disponibilidad visible con Front End. Product Backlog S1/S2/S3 cita RF6 literal y lo marca Terminado.</t>
        </is>
      </c>
      <c r="J14" s="83" t="n"/>
    </row>
    <row r="15" ht="39.6" customHeight="1">
      <c r="A15" s="90" t="inlineStr">
        <is>
          <t>ART-B-REQ</t>
        </is>
      </c>
      <c r="B15" s="85" t="inlineStr">
        <is>
          <t>RNF5</t>
        </is>
      </c>
      <c r="C15" s="83" t="inlineStr">
        <is>
          <t>Datos del barco: capacidad, imagen, categoria, fabricante y puerto</t>
        </is>
      </c>
      <c r="D15" s="85" t="inlineStr">
        <is>
          <t>Textual</t>
        </is>
      </c>
      <c r="E15" s="85" t="n"/>
      <c r="F15" s="85" t="n">
        <v>1</v>
      </c>
      <c r="G15" s="85" t="inlineStr">
        <is>
          <t>Sí</t>
        </is>
      </c>
      <c r="H15" s="87">
        <f>IF(F15=1,1,0)</f>
        <v/>
      </c>
      <c r="I15" s="83" t="inlineStr">
        <is>
          <t>Matriz RNF5 vincula datos del barco con Back End. Product Backlog S1/S2/S3 cita RNF5 literal y lo marca Terminado.</t>
        </is>
      </c>
      <c r="J15" s="83" t="n"/>
    </row>
    <row r="16" ht="26.4" customHeight="1">
      <c r="A16" s="90" t="inlineStr">
        <is>
          <t>ART-B-REQ</t>
        </is>
      </c>
      <c r="B16" s="85" t="inlineStr">
        <is>
          <t>RF7</t>
        </is>
      </c>
      <c r="C16" s="83" t="inlineStr">
        <is>
          <t>Codigo de seguimiento asociado al alquiler, enviado por correo</t>
        </is>
      </c>
      <c r="D16" s="85" t="inlineStr">
        <is>
          <t>Textual</t>
        </is>
      </c>
      <c r="E16" s="85" t="n"/>
      <c r="F16" s="85" t="n">
        <v>1</v>
      </c>
      <c r="G16" s="85" t="inlineStr">
        <is>
          <t>Sí</t>
        </is>
      </c>
      <c r="H16" s="87">
        <f>IF(F16=1,1,0)</f>
        <v/>
      </c>
      <c r="I16" s="83" t="inlineStr">
        <is>
          <t>Matriz RF7 vincula codigo/correo de alquiler con Back End. Product Backlog S2/S3 cita RF7 y S3 lo marca Terminado.</t>
        </is>
      </c>
      <c r="J16" s="83" t="n"/>
    </row>
    <row r="17" ht="26.4" customHeight="1">
      <c r="A17" s="90" t="inlineStr">
        <is>
          <t>ART-B-REQ</t>
        </is>
      </c>
      <c r="B17" s="85" t="inlineStr">
        <is>
          <t>RF8</t>
        </is>
      </c>
      <c r="C17" s="83" t="inlineStr">
        <is>
          <t>Catalogo de barcos por categorias y filtros</t>
        </is>
      </c>
      <c r="D17" s="85" t="inlineStr">
        <is>
          <t>Textual</t>
        </is>
      </c>
      <c r="E17" s="85" t="n"/>
      <c r="F17" s="85" t="n">
        <v>1</v>
      </c>
      <c r="G17" s="85" t="inlineStr">
        <is>
          <t>Sí</t>
        </is>
      </c>
      <c r="H17" s="87">
        <f>IF(F17=1,1,0)</f>
        <v/>
      </c>
      <c r="I17" s="83" t="inlineStr">
        <is>
          <t>Matriz RF8 vincula catalogo/filtros con Front End/Back End. Product Backlog S1/S2/S3 cita RF8 literal y lo marca Terminado.</t>
        </is>
      </c>
      <c r="J17" s="83" t="n"/>
    </row>
    <row r="18" ht="26.4" customHeight="1">
      <c r="A18" s="90" t="inlineStr">
        <is>
          <t>ART-B-REQ</t>
        </is>
      </c>
      <c r="B18" s="85" t="inlineStr">
        <is>
          <t>RF9</t>
        </is>
      </c>
      <c r="C18" s="83" t="inlineStr">
        <is>
          <t>Añadir productos a cesta y completar alquiler</t>
        </is>
      </c>
      <c r="D18" s="85" t="inlineStr">
        <is>
          <t>Textual</t>
        </is>
      </c>
      <c r="E18" s="85" t="n"/>
      <c r="F18" s="85" t="n">
        <v>1</v>
      </c>
      <c r="G18" s="85" t="inlineStr">
        <is>
          <t>Sí</t>
        </is>
      </c>
      <c r="H18" s="87">
        <f>IF(F18=1,1,0)</f>
        <v/>
      </c>
      <c r="I18" s="83" t="inlineStr">
        <is>
          <t>Matriz RF9 vincula cesta/proceso de alquiler con Front End/Back End. Product Backlog S2/S3 cita RF9 y lo marca Terminado.</t>
        </is>
      </c>
      <c r="J18" s="83" t="n"/>
    </row>
    <row r="19" ht="26.4" customHeight="1">
      <c r="A19" s="90" t="inlineStr">
        <is>
          <t>ART-B-REQ</t>
        </is>
      </c>
      <c r="B19" s="85" t="inlineStr">
        <is>
          <t>RF10</t>
        </is>
      </c>
      <c r="C19" s="83" t="inlineStr">
        <is>
          <t>Solicitud de datos del usuario durante alquiler</t>
        </is>
      </c>
      <c r="D19" s="85" t="inlineStr">
        <is>
          <t>Textual</t>
        </is>
      </c>
      <c r="E19" s="85" t="n"/>
      <c r="F19" s="85" t="n">
        <v>1</v>
      </c>
      <c r="G19" s="85" t="inlineStr">
        <is>
          <t>Sí</t>
        </is>
      </c>
      <c r="H19" s="87">
        <f>IF(F19=1,1,0)</f>
        <v/>
      </c>
      <c r="I19" s="83" t="inlineStr">
        <is>
          <t>Matriz RF10 vincula datos de usuario con Front End/Back End. Product Backlog S2/S3 cita RF10 y lo marca Terminado.</t>
        </is>
      </c>
      <c r="J19" s="83" t="n"/>
    </row>
    <row r="20" ht="26.4" customHeight="1">
      <c r="A20" s="90" t="inlineStr">
        <is>
          <t>ART-B-REQ</t>
        </is>
      </c>
      <c r="B20" s="85" t="inlineStr">
        <is>
          <t>RF11</t>
        </is>
      </c>
      <c r="C20" s="83" t="inlineStr">
        <is>
          <t>Solicitud de datos de envio: hora, dia, puerto</t>
        </is>
      </c>
      <c r="D20" s="85" t="inlineStr">
        <is>
          <t>Textual</t>
        </is>
      </c>
      <c r="E20" s="85" t="n"/>
      <c r="F20" s="85" t="n">
        <v>1</v>
      </c>
      <c r="G20" s="85" t="inlineStr">
        <is>
          <t>Sí</t>
        </is>
      </c>
      <c r="H20" s="87">
        <f>IF(F20=1,1,0)</f>
        <v/>
      </c>
      <c r="I20" s="83" t="inlineStr">
        <is>
          <t>Matriz RF11 vincula datos de envio con Front End. Product Backlog S2/S3 cita RF11 y lo marca Terminado.</t>
        </is>
      </c>
      <c r="J20" s="83" t="n"/>
    </row>
    <row r="21" ht="26.4" customHeight="1">
      <c r="A21" s="90" t="inlineStr">
        <is>
          <t>ART-B-REQ</t>
        </is>
      </c>
      <c r="B21" s="85" t="inlineStr">
        <is>
          <t>RF12</t>
        </is>
      </c>
      <c r="C21" s="83" t="inlineStr">
        <is>
          <t>Solicitud de datos de pago</t>
        </is>
      </c>
      <c r="D21" s="85" t="inlineStr">
        <is>
          <t>Textual</t>
        </is>
      </c>
      <c r="E21" s="85" t="n"/>
      <c r="F21" s="85" t="n">
        <v>1</v>
      </c>
      <c r="G21" s="85" t="inlineStr">
        <is>
          <t>Sí</t>
        </is>
      </c>
      <c r="H21" s="87">
        <f>IF(F21=1,1,0)</f>
        <v/>
      </c>
      <c r="I21" s="83" t="inlineStr">
        <is>
          <t>Matriz RF12 vincula datos de pago con Front End/Back End. Product Backlog S3 cita RF12 y lo marca Terminado.</t>
        </is>
      </c>
      <c r="J21" s="83" t="n"/>
    </row>
    <row r="22" ht="39.6" customHeight="1">
      <c r="A22" s="90" t="inlineStr">
        <is>
          <t>ART-B-REQ</t>
        </is>
      </c>
      <c r="B22" s="85" t="inlineStr">
        <is>
          <t>RF13</t>
        </is>
      </c>
      <c r="C22" s="83" t="inlineStr">
        <is>
          <t>Estados del alquiler y pago posterior</t>
        </is>
      </c>
      <c r="D22" s="85" t="inlineStr">
        <is>
          <t>Textual</t>
        </is>
      </c>
      <c r="E22" s="85" t="n"/>
      <c r="F22" s="85" t="n">
        <v>1</v>
      </c>
      <c r="G22" s="85" t="inlineStr">
        <is>
          <t>Sí</t>
        </is>
      </c>
      <c r="H22" s="87">
        <f>IF(F22=1,1,0)</f>
        <v/>
      </c>
      <c r="I22" s="83" t="inlineStr">
        <is>
          <t>Matriz RF13 define PAGADO/PENDIENTE. Registro y Product Backlog S3 actualizan como RF13b con PAGADO, PENDIENTE DE PAGO, EN USO y DEVUELTO; S3 lo marca Terminado.</t>
        </is>
      </c>
      <c r="J22" s="83" t="inlineStr">
        <is>
          <t>ID evolucionado RF13 -&gt; RF13b; trazable por funcion.</t>
        </is>
      </c>
    </row>
    <row r="23" ht="39.6" customHeight="1">
      <c r="A23" s="90" t="inlineStr">
        <is>
          <t>ART-B-REQ</t>
        </is>
      </c>
      <c r="B23" s="85" t="inlineStr">
        <is>
          <t>RF14</t>
        </is>
      </c>
      <c r="C23" s="83" t="inlineStr">
        <is>
          <t>Terminado proceso se envia un correo con datos de barco/puerto/importe</t>
        </is>
      </c>
      <c r="D23" s="85" t="inlineStr">
        <is>
          <t>Textual</t>
        </is>
      </c>
      <c r="E23" s="85" t="n"/>
      <c r="F23" s="85" t="n">
        <v>1</v>
      </c>
      <c r="G23" s="85" t="inlineStr">
        <is>
          <t>Sí</t>
        </is>
      </c>
      <c r="H23" s="87">
        <f>IF(F23=1,1,0)</f>
        <v/>
      </c>
      <c r="I23" s="83" t="inlineStr">
        <is>
          <t>Matriz RF14 vincula correo de finalizacion. Product Backlog S2/S3 cita RF14 y lo marca Terminado.</t>
        </is>
      </c>
      <c r="J23" s="83" t="n"/>
    </row>
    <row r="24" ht="52.8" customHeight="1">
      <c r="A24" s="90" t="inlineStr">
        <is>
          <t>ART-B-REQ</t>
        </is>
      </c>
      <c r="B24" s="85" t="inlineStr">
        <is>
          <t>RF15</t>
        </is>
      </c>
      <c r="C24" s="83" t="inlineStr">
        <is>
          <t>Recordatorio de pago un dia antes del inicio de la reserva</t>
        </is>
      </c>
      <c r="D24" s="85" t="inlineStr">
        <is>
          <t>Textual</t>
        </is>
      </c>
      <c r="E24" s="85" t="n"/>
      <c r="F24" s="85" t="n">
        <v>0</v>
      </c>
      <c r="G24" s="85" t="inlineStr">
        <is>
          <t>Sí</t>
        </is>
      </c>
      <c r="H24" s="87">
        <f>IF(F24=1,1,0)</f>
        <v/>
      </c>
      <c r="I24" s="83" t="inlineStr">
        <is>
          <t>Matriz RF15 y Product Backlog S1/S2 lo incluyen como Won't. Sprint 3 Planning menciona RF15 en seguimiento de pedidos, pero Product Backlog S3 no conserva RF15 ni lo marca Terminado.</t>
        </is>
      </c>
      <c r="J24" s="83" t="inlineStr">
        <is>
          <t>Propuesto NO trazable: no queda evidencia de materializacion aguas abajo en backlog final.</t>
        </is>
      </c>
    </row>
    <row r="25" ht="26.4" customHeight="1">
      <c r="A25" s="90" t="inlineStr">
        <is>
          <t>ART-B-REQ</t>
        </is>
      </c>
      <c r="B25" s="85" t="inlineStr">
        <is>
          <t>RF16</t>
        </is>
      </c>
      <c r="C25" s="83" t="inlineStr">
        <is>
          <t>No devolucion de productos/alquileres</t>
        </is>
      </c>
      <c r="D25" s="85" t="inlineStr">
        <is>
          <t>Textual</t>
        </is>
      </c>
      <c r="E25" s="85" t="n"/>
      <c r="F25" s="85" t="n">
        <v>1</v>
      </c>
      <c r="G25" s="85" t="inlineStr">
        <is>
          <t>Sí</t>
        </is>
      </c>
      <c r="H25" s="87">
        <f>IF(F25=1,1,0)</f>
        <v/>
      </c>
      <c r="I25" s="83" t="inlineStr">
        <is>
          <t>Matriz RF16 vincula no devoluci?n con Front End/Back End. Product Backlog S1/S2/S3 cita RF16 no devolucion y lo marca Terminado.</t>
        </is>
      </c>
      <c r="J25" s="83" t="n"/>
    </row>
    <row r="26" ht="26.4" customHeight="1">
      <c r="A26" s="90" t="inlineStr">
        <is>
          <t>ART-B-REQ</t>
        </is>
      </c>
      <c r="B26" s="85" t="inlineStr">
        <is>
          <t>RNF6</t>
        </is>
      </c>
      <c r="C26" s="83" t="inlineStr">
        <is>
          <t>Marca corporativa y politicas visibles</t>
        </is>
      </c>
      <c r="D26" s="85" t="inlineStr">
        <is>
          <t>Textual</t>
        </is>
      </c>
      <c r="E26" s="85" t="n"/>
      <c r="F26" s="85" t="n">
        <v>1</v>
      </c>
      <c r="G26" s="85" t="inlineStr">
        <is>
          <t>Sí</t>
        </is>
      </c>
      <c r="H26" s="87">
        <f>IF(F26=1,1,0)</f>
        <v/>
      </c>
      <c r="I26" s="83" t="inlineStr">
        <is>
          <t>Matriz RNF6 vincula marca/politicas con Front End. Product Backlog S1/S2/S3 cita RNF6 y lo marca Terminado.</t>
        </is>
      </c>
      <c r="J26" s="83" t="n"/>
    </row>
    <row r="27" ht="39.6" customHeight="1">
      <c r="A27" s="90" t="inlineStr">
        <is>
          <t>ART-B-REQ</t>
        </is>
      </c>
      <c r="B27" s="85" t="inlineStr">
        <is>
          <t>RO1</t>
        </is>
      </c>
      <c r="C27" s="83" t="inlineStr">
        <is>
          <t>Manuales de usuario e instrucciones de puesta en produccion</t>
        </is>
      </c>
      <c r="D27" s="85" t="inlineStr">
        <is>
          <t>Textual</t>
        </is>
      </c>
      <c r="E27" s="85" t="n"/>
      <c r="F27" s="85" t="n">
        <v>1</v>
      </c>
      <c r="G27" s="85" t="inlineStr">
        <is>
          <t>Sí</t>
        </is>
      </c>
      <c r="H27" s="87">
        <f>IF(F27=1,1,0)</f>
        <v/>
      </c>
      <c r="I27" s="83" t="inlineStr">
        <is>
          <t>Matriz RO1 vincula documentacion final. Sprint 3 Planning incluye redactar manual e instrucciones de despliegue; Product Backlog S3 cita RO1 y lo marca Terminado.</t>
        </is>
      </c>
      <c r="J27" s="83" t="n"/>
    </row>
    <row r="28" ht="26.4" customHeight="1">
      <c r="A28" s="90" t="inlineStr">
        <is>
          <t>ART-B-REQ</t>
        </is>
      </c>
      <c r="B28" s="85" t="inlineStr">
        <is>
          <t>RO2</t>
        </is>
      </c>
      <c r="C28" s="83" t="inlineStr">
        <is>
          <t>Uso de ciclo de vida hibrido</t>
        </is>
      </c>
      <c r="D28" s="85" t="inlineStr">
        <is>
          <t>Textual</t>
        </is>
      </c>
      <c r="E28" s="85" t="n"/>
      <c r="F28" s="85" t="n">
        <v>1</v>
      </c>
      <c r="G28" s="85" t="inlineStr">
        <is>
          <t>Sí</t>
        </is>
      </c>
      <c r="H28" s="87">
        <f>IF(F28=1,1,0)</f>
        <v/>
      </c>
      <c r="I28" s="83" t="inlineStr">
        <is>
          <t>Matriz RO2 vincula ciclo de vida hibrido con documentacion. Product Backlog S2/S3 cita RO2 y lo marca Terminado.</t>
        </is>
      </c>
      <c r="J28" s="83" t="n"/>
    </row>
    <row r="29" ht="26.4" customHeight="1">
      <c r="A29" s="90" t="inlineStr">
        <is>
          <t>ART-B-REQ</t>
        </is>
      </c>
      <c r="B29" s="85" t="inlineStr">
        <is>
          <t>RO3</t>
        </is>
      </c>
      <c r="C29" s="83" t="inlineStr">
        <is>
          <t>Uso de plantillas proporcionadas por la organizacion</t>
        </is>
      </c>
      <c r="D29" s="85" t="inlineStr">
        <is>
          <t>Textual</t>
        </is>
      </c>
      <c r="E29" s="85" t="n"/>
      <c r="F29" s="85" t="n">
        <v>1</v>
      </c>
      <c r="G29" s="85" t="inlineStr">
        <is>
          <t>Sí</t>
        </is>
      </c>
      <c r="H29" s="87">
        <f>IF(F29=1,1,0)</f>
        <v/>
      </c>
      <c r="I29" s="83" t="inlineStr">
        <is>
          <t>Matriz RO3 vincula plantillas con documentacion. Product Backlog S2/S3 cita RO3 y lo marca Terminado.</t>
        </is>
      </c>
      <c r="J29" s="83" t="n"/>
    </row>
    <row r="30" ht="39.6" customHeight="1">
      <c r="A30" s="90" t="inlineStr">
        <is>
          <t>ART-B-REQ</t>
        </is>
      </c>
      <c r="B30" s="85" t="inlineStr">
        <is>
          <t>RF17</t>
        </is>
      </c>
      <c r="C30" s="83" t="inlineStr">
        <is>
          <t>Usuarios registrados pueden ser clientes o administradores</t>
        </is>
      </c>
      <c r="D30" s="85" t="inlineStr">
        <is>
          <t>Textual</t>
        </is>
      </c>
      <c r="E30" s="85" t="n"/>
      <c r="F30" s="85" t="n">
        <v>1</v>
      </c>
      <c r="G30" s="85" t="inlineStr">
        <is>
          <t>Sí</t>
        </is>
      </c>
      <c r="H30" s="87">
        <f>IF(F30=1,1,0)</f>
        <v/>
      </c>
      <c r="I30" s="83" t="inlineStr">
        <is>
          <t>Matriz RF17 define roles cliente/administrador. Registro/Product Backlog usan la misma funcion con numeracion desplazada (RF16 en backlog), marcada Terminado.</t>
        </is>
      </c>
      <c r="J30" s="83" t="inlineStr">
        <is>
          <t>Trazable por funcion aunque hay desplazamiento de ID respecto a Registro/Backlog.</t>
        </is>
      </c>
    </row>
    <row r="31" ht="26.4" customHeight="1">
      <c r="A31" s="90" t="inlineStr">
        <is>
          <t>ART-B-REQ</t>
        </is>
      </c>
      <c r="B31" s="85" t="inlineStr">
        <is>
          <t>RF18</t>
        </is>
      </c>
      <c r="C31" s="83" t="inlineStr">
        <is>
          <t>Cliente ve productos y solo sus alquileres</t>
        </is>
      </c>
      <c r="D31" s="85" t="inlineStr">
        <is>
          <t>Textual</t>
        </is>
      </c>
      <c r="E31" s="85" t="n"/>
      <c r="F31" s="85" t="n">
        <v>1</v>
      </c>
      <c r="G31" s="85" t="inlineStr">
        <is>
          <t>Sí</t>
        </is>
      </c>
      <c r="H31" s="87">
        <f>IF(F31=1,1,0)</f>
        <v/>
      </c>
      <c r="I31" s="83" t="inlineStr">
        <is>
          <t>Matriz RF18 define visibilidad del cliente. Product Backlog S3 cita RF17 con la misma funci?n y lo marca Terminado.</t>
        </is>
      </c>
      <c r="J31" s="83" t="inlineStr">
        <is>
          <t>Trazable por funcion aunque hay desplazamiento de ID.</t>
        </is>
      </c>
    </row>
    <row r="32" ht="26.4" customHeight="1">
      <c r="A32" s="90" t="inlineStr">
        <is>
          <t>ART-B-REQ</t>
        </is>
      </c>
      <c r="B32" s="85" t="inlineStr">
        <is>
          <t>RF19</t>
        </is>
      </c>
      <c r="C32" s="83" t="inlineStr">
        <is>
          <t>Administrador ve/edita productos y revisa todos los alquileres</t>
        </is>
      </c>
      <c r="D32" s="85" t="inlineStr">
        <is>
          <t>Textual</t>
        </is>
      </c>
      <c r="E32" s="85" t="n"/>
      <c r="F32" s="85" t="n">
        <v>1</v>
      </c>
      <c r="G32" s="85" t="inlineStr">
        <is>
          <t>Sí</t>
        </is>
      </c>
      <c r="H32" s="87">
        <f>IF(F32=1,1,0)</f>
        <v/>
      </c>
      <c r="I32" s="83" t="inlineStr">
        <is>
          <t>Matriz RF19 define permisos de administrador. Registro/Product Backlog S3 contienen la misma funcion como RF18 y la marcan Terminado.</t>
        </is>
      </c>
      <c r="J32" s="83" t="inlineStr">
        <is>
          <t>Duda: ID RF19 no aparece en Registro/Backlog; propuesta trazable por coincidencia textual funcional segun 4.2.3.</t>
        </is>
      </c>
    </row>
    <row r="33" ht="52.8" customHeight="1">
      <c r="A33" s="89" t="inlineStr">
        <is>
          <t>ART-B-PLAN</t>
        </is>
      </c>
      <c r="B33" s="85" t="inlineStr">
        <is>
          <t>PLAN-01/RF1</t>
        </is>
      </c>
      <c r="C33" s="83" t="inlineStr">
        <is>
          <t>Catalogo/listado visible de barcos</t>
        </is>
      </c>
      <c r="D33" s="85" t="inlineStr">
        <is>
          <t>Textual</t>
        </is>
      </c>
      <c r="E33" s="85" t="n">
        <v>1</v>
      </c>
      <c r="F33" s="85" t="n">
        <v>1</v>
      </c>
      <c r="G33" s="85" t="inlineStr">
        <is>
          <t>No</t>
        </is>
      </c>
      <c r="H33" s="87">
        <f>IF(AND(E33=1,F33=1),1,0)</f>
        <v/>
      </c>
      <c r="I33" s="83" t="inlineStr">
        <is>
          <t>Aguas arriba: Registro/Matriz RF1. 
Aguas abajo: Product Backlog S3 RF1 Terminado; 02_ARQUITECTURA.md documenta app store con listado y detalle; 03_MODELO_DE_DATOS.md documenta Product.</t>
        </is>
      </c>
      <c r="J33" s="83" t="n"/>
    </row>
    <row r="34" ht="66" customHeight="1">
      <c r="A34" s="89" t="inlineStr">
        <is>
          <t>ART-B-PLAN</t>
        </is>
      </c>
      <c r="B34" s="85" t="inlineStr">
        <is>
          <t>PLAN-02/RNF1</t>
        </is>
      </c>
      <c r="C34" s="83" t="inlineStr">
        <is>
          <t>Mecanismo para modificar tiempo/duracion de alquiler</t>
        </is>
      </c>
      <c r="D34" s="85" t="inlineStr">
        <is>
          <t>Textual</t>
        </is>
      </c>
      <c r="E34" s="85" t="n">
        <v>1</v>
      </c>
      <c r="F34" s="85" t="n">
        <v>1</v>
      </c>
      <c r="G34" s="85" t="inlineStr">
        <is>
          <t>No</t>
        </is>
      </c>
      <c r="H34" s="87">
        <f>IF(AND(E34=1,F34=1),1,0)</f>
        <v/>
      </c>
      <c r="I34" s="83" t="inlineStr">
        <is>
          <t>Aguas arriba: Registro/Matriz RNF1. 
Aguas abajo: Product Backlog S3 RNF1 Terminado; 02_ARQUITECTURA.md documenta carts con CartItem y fechas; 03_MODELO_DE_DATOS.md documenta CartItem y OrderProduct con fechas de reserva.</t>
        </is>
      </c>
      <c r="J34" s="83" t="n"/>
    </row>
    <row r="35" ht="52.8" customHeight="1">
      <c r="A35" s="89" t="inlineStr">
        <is>
          <t>ART-B-PLAN</t>
        </is>
      </c>
      <c r="B35" s="85" t="inlineStr">
        <is>
          <t>PLAN-03/RF2</t>
        </is>
      </c>
      <c r="C35" s="83" t="inlineStr">
        <is>
          <t>Categorias de barcos ofertadas</t>
        </is>
      </c>
      <c r="D35" s="85" t="inlineStr">
        <is>
          <t>Textual</t>
        </is>
      </c>
      <c r="E35" s="85" t="n">
        <v>1</v>
      </c>
      <c r="F35" s="85" t="n">
        <v>1</v>
      </c>
      <c r="G35" s="85" t="inlineStr">
        <is>
          <t>No</t>
        </is>
      </c>
      <c r="H35" s="87">
        <f>IF(AND(E35=1,F35=1),1,0)</f>
        <v/>
      </c>
      <c r="I35" s="83" t="inlineStr">
        <is>
          <t>Aguas arriba: Registro/Matriz RF2. 
Aguas abajo: Product Backlog S3 RF2 Terminado; 02_ARQUITECTURA.md documenta app category y store; 03_MODELO_DE_DATOS.md documenta Category y ForeignKey Product-&gt;Category.</t>
        </is>
      </c>
      <c r="J35" s="83" t="n"/>
    </row>
    <row r="36" ht="66" customHeight="1">
      <c r="A36" s="89" t="inlineStr">
        <is>
          <t>ART-B-PLAN</t>
        </is>
      </c>
      <c r="B36" s="85" t="inlineStr">
        <is>
          <t>PLAN-04/RNF2</t>
        </is>
      </c>
      <c r="C36" s="83" t="inlineStr">
        <is>
          <t>Modificacion de datos de cuenta del cliente</t>
        </is>
      </c>
      <c r="D36" s="85" t="inlineStr">
        <is>
          <t>Textual</t>
        </is>
      </c>
      <c r="E36" s="85" t="n">
        <v>1</v>
      </c>
      <c r="F36" s="85" t="n">
        <v>1</v>
      </c>
      <c r="G36" s="85" t="inlineStr">
        <is>
          <t>No</t>
        </is>
      </c>
      <c r="H36" s="87">
        <f>IF(AND(E36=1,F36=1),1,0)</f>
        <v/>
      </c>
      <c r="I36" s="83" t="inlineStr">
        <is>
          <t>Aguas arriba: Registro/Matriz RNF2. 
Aguas abajo: Product Backlog S3 RNF2 Terminado; 02_ARQUITECTURA.md documenta accounts/views.py con dashboard/perfil y forms UserForm/UserProfileForm; 03_MODELO_DE_DATOS.md documenta UserProfile.</t>
        </is>
      </c>
      <c r="J36" s="83" t="n"/>
    </row>
    <row r="37" ht="52.8" customHeight="1">
      <c r="A37" s="89" t="inlineStr">
        <is>
          <t>ART-B-PLAN</t>
        </is>
      </c>
      <c r="B37" s="85" t="inlineStr">
        <is>
          <t>PLAN-05/RNF4</t>
        </is>
      </c>
      <c r="C37" s="83" t="inlineStr">
        <is>
          <t>Interfaz en español</t>
        </is>
      </c>
      <c r="D37" s="85" t="inlineStr">
        <is>
          <t>Textual</t>
        </is>
      </c>
      <c r="E37" s="85" t="n">
        <v>1</v>
      </c>
      <c r="F37" s="85" t="n">
        <v>1</v>
      </c>
      <c r="G37" s="85" t="inlineStr">
        <is>
          <t>No</t>
        </is>
      </c>
      <c r="H37" s="87">
        <f>IF(AND(E37=1,F37=1),1,0)</f>
        <v/>
      </c>
      <c r="I37" s="83" t="inlineStr">
        <is>
          <t>Aguas arriba: Registro/Matriz RNF4. 
Aguas abajo: Product Backlog S3 RNF4 Terminado; evidencia textual en plantillas y documentos del producto auditado, con templates globales descritos en 02_ARQUITECTURA.md.</t>
        </is>
      </c>
      <c r="J37" s="83" t="n"/>
    </row>
    <row r="38" ht="52.8" customHeight="1">
      <c r="A38" s="89" t="inlineStr">
        <is>
          <t>ART-B-PLAN</t>
        </is>
      </c>
      <c r="B38" s="85" t="inlineStr">
        <is>
          <t>PLAN-06/RF4</t>
        </is>
      </c>
      <c r="C38" s="83" t="inlineStr">
        <is>
          <t>Login por correo y clave</t>
        </is>
      </c>
      <c r="D38" s="85" t="inlineStr">
        <is>
          <t>Textual</t>
        </is>
      </c>
      <c r="E38" s="85" t="n">
        <v>1</v>
      </c>
      <c r="F38" s="85" t="n">
        <v>1</v>
      </c>
      <c r="G38" s="85" t="inlineStr">
        <is>
          <t>No</t>
        </is>
      </c>
      <c r="H38" s="87">
        <f>IF(AND(E38=1,F38=1),1,0)</f>
        <v/>
      </c>
      <c r="I38" s="83" t="inlineStr">
        <is>
          <t>Aguas arriba: Registro/Matriz RF4. 
Aguas abajo: Product Backlog S3 RF4 Terminado; 02_ARQUITECTURA.md documenta accounts con Register/login/logout; 03_MODELO_DE_DATOS.md documenta Account con USERNAME_FIELD=email.</t>
        </is>
      </c>
      <c r="J38" s="83" t="n"/>
    </row>
    <row r="39" ht="52.8" customHeight="1">
      <c r="A39" s="89" t="inlineStr">
        <is>
          <t>ART-B-PLAN</t>
        </is>
      </c>
      <c r="B39" s="85" t="inlineStr">
        <is>
          <t>PLAN-07/RF6</t>
        </is>
      </c>
      <c r="C39" s="83" t="inlineStr">
        <is>
          <t>Marcado de barcos no disponibles</t>
        </is>
      </c>
      <c r="D39" s="85" t="inlineStr">
        <is>
          <t>Textual</t>
        </is>
      </c>
      <c r="E39" s="85" t="n">
        <v>1</v>
      </c>
      <c r="F39" s="85" t="n">
        <v>1</v>
      </c>
      <c r="G39" s="85" t="inlineStr">
        <is>
          <t>No</t>
        </is>
      </c>
      <c r="H39" s="87">
        <f>IF(AND(E39=1,F39=1),1,0)</f>
        <v/>
      </c>
      <c r="I39" s="83" t="inlineStr">
        <is>
          <t>Aguas arriba: Registro/Matriz RF6. 
Aguas abajo: Product Backlog S3 RF6 Terminado; 03_MODELO_DE_DATOS.md documenta Product.is_available y stock; 02_ARQUITECTURA.md documenta store como catalogo/disponibilidad.</t>
        </is>
      </c>
      <c r="J39" s="83" t="n"/>
    </row>
    <row r="40" ht="52.8" customHeight="1">
      <c r="A40" s="89" t="inlineStr">
        <is>
          <t>ART-B-PLAN</t>
        </is>
      </c>
      <c r="B40" s="85" t="inlineStr">
        <is>
          <t>PLAN-08/RNF5</t>
        </is>
      </c>
      <c r="C40" s="83" t="inlineStr">
        <is>
          <t>Datos de barco: capacidad, imagen, categoria, fabricante y puerto</t>
        </is>
      </c>
      <c r="D40" s="85" t="inlineStr">
        <is>
          <t>Textual</t>
        </is>
      </c>
      <c r="E40" s="85" t="n">
        <v>1</v>
      </c>
      <c r="F40" s="85" t="n">
        <v>1</v>
      </c>
      <c r="G40" s="85" t="inlineStr">
        <is>
          <t>No</t>
        </is>
      </c>
      <c r="H40" s="87">
        <f>IF(AND(E40=1,F40=1),1,0)</f>
        <v/>
      </c>
      <c r="I40" s="83" t="inlineStr">
        <is>
          <t>Aguas arriba: Registro/Matriz RNF5. 
Aguas abajo: Product Backlog S3 RNF5 Terminado; 03_MODELO_DE_DATOS.md documenta Product con images, category, fabricante, puerto y capacidad.</t>
        </is>
      </c>
      <c r="J40" s="83" t="n"/>
    </row>
    <row r="41" ht="52.8" customHeight="1">
      <c r="A41" s="90" t="inlineStr">
        <is>
          <t>ART-B-PLAN</t>
        </is>
      </c>
      <c r="B41" s="85" t="inlineStr">
        <is>
          <t>PLAN-09/RF8</t>
        </is>
      </c>
      <c r="C41" s="83" t="inlineStr">
        <is>
          <t>Catalogo por categorias y filtros</t>
        </is>
      </c>
      <c r="D41" s="85" t="inlineStr">
        <is>
          <t>Textual</t>
        </is>
      </c>
      <c r="E41" s="85" t="n">
        <v>1</v>
      </c>
      <c r="F41" s="85" t="n">
        <v>1</v>
      </c>
      <c r="G41" s="85" t="inlineStr">
        <is>
          <t>No</t>
        </is>
      </c>
      <c r="H41" s="87">
        <f>IF(AND(E41=1,F41=1),1,0)</f>
        <v/>
      </c>
      <c r="I41" s="83" t="inlineStr">
        <is>
          <t>Aguas arriba: Registro/Matriz RF8. 
Aguas abajo: Product Backlog S3 RF8 Terminado; 02_ARQUITECTURA.md documenta store como catalogo, filtros de busqueda y navegacion por categorias.</t>
        </is>
      </c>
      <c r="J41" s="83" t="n"/>
    </row>
    <row r="42" ht="52.8" customHeight="1">
      <c r="A42" s="90" t="inlineStr">
        <is>
          <t>ART-B-PLAN</t>
        </is>
      </c>
      <c r="B42" s="85" t="inlineStr">
        <is>
          <t>PLAN-10/RF16a</t>
        </is>
      </c>
      <c r="C42" s="83" t="inlineStr">
        <is>
          <t>No devolucion de productos/alquileres</t>
        </is>
      </c>
      <c r="D42" s="85" t="inlineStr">
        <is>
          <t>Textual</t>
        </is>
      </c>
      <c r="E42" s="85" t="n">
        <v>1</v>
      </c>
      <c r="F42" s="85" t="n">
        <v>1</v>
      </c>
      <c r="G42" s="85" t="inlineStr">
        <is>
          <t>No</t>
        </is>
      </c>
      <c r="H42" s="87">
        <f>IF(AND(E42=1,F42=1),1,0)</f>
        <v/>
      </c>
      <c r="I42" s="83" t="inlineStr">
        <is>
          <t>Aguas arriba: Registro/Matriz RF16. 
Aguas abajo: Product Backlog S3 mantiene RF16 Terminado; 03_MODELO_DE_DATOS.md documenta estados/ordenes y RNF8 cubre aviso de no devolucion asociado a cancelacion.</t>
        </is>
      </c>
      <c r="J42" s="83" t="inlineStr">
        <is>
          <t>Trazabilidad funcional, no por modulo aislado.</t>
        </is>
      </c>
    </row>
    <row r="43" ht="52.8" customHeight="1">
      <c r="A43" s="90" t="inlineStr">
        <is>
          <t>ART-B-PLAN</t>
        </is>
      </c>
      <c r="B43" s="85" t="inlineStr">
        <is>
          <t>PLAN-11/RNF6</t>
        </is>
      </c>
      <c r="C43" s="83" t="inlineStr">
        <is>
          <t>Marca corporativa y politicas visibles</t>
        </is>
      </c>
      <c r="D43" s="85" t="inlineStr">
        <is>
          <t>Textual</t>
        </is>
      </c>
      <c r="E43" s="85" t="n">
        <v>1</v>
      </c>
      <c r="F43" s="85" t="n">
        <v>0</v>
      </c>
      <c r="G43" s="85" t="inlineStr">
        <is>
          <t>No</t>
        </is>
      </c>
      <c r="H43" s="87">
        <f>IF(AND(E43=1,F43=1),1,0)</f>
        <v/>
      </c>
      <c r="I43" s="83" t="inlineStr">
        <is>
          <t>Aguas arriba: Registro/Matriz RNF6. 
Aguas abajo: Product Backlog S3 lo marca Terminado, pero en la auditoria tecnica no hay evidencia especifica de politicas/brand content mas alla de plantillas estaticas genericas.</t>
        </is>
      </c>
      <c r="J43" s="83" t="inlineStr">
        <is>
          <t>Propuesto NO trazable: falta evidencia aguas abajo especifica.</t>
        </is>
      </c>
    </row>
    <row r="44" ht="66" customHeight="1">
      <c r="A44" s="90" t="inlineStr">
        <is>
          <t>ART-B-PLAN</t>
        </is>
      </c>
      <c r="B44" s="85" t="inlineStr">
        <is>
          <t>PLAN-12/RF10</t>
        </is>
      </c>
      <c r="C44" s="83" t="inlineStr">
        <is>
          <t>Solicitud de datos de usuario en el alquiler</t>
        </is>
      </c>
      <c r="D44" s="85" t="inlineStr">
        <is>
          <t>Textual</t>
        </is>
      </c>
      <c r="E44" s="85" t="n">
        <v>1</v>
      </c>
      <c r="F44" s="85" t="n">
        <v>1</v>
      </c>
      <c r="G44" s="85" t="inlineStr">
        <is>
          <t>No</t>
        </is>
      </c>
      <c r="H44" s="87">
        <f>IF(AND(E44=1,F44=1),1,0)</f>
        <v/>
      </c>
      <c r="I44" s="83" t="inlineStr">
        <is>
          <t>Aguas arriba: Registro/Matriz RF10. 
Aguas abajo: Product Backlog S3 RF10 Terminado; 02_ARQUITECTURA.md documenta orders/forms.py OrderForm y templates de checkout; 03_MODELO_DE_DATOS.md documenta Order con datos asociados.</t>
        </is>
      </c>
      <c r="J44" s="83" t="n"/>
    </row>
    <row r="45" ht="52.8" customHeight="1">
      <c r="A45" s="90" t="inlineStr">
        <is>
          <t>ART-B-PLAN</t>
        </is>
      </c>
      <c r="B45" s="85" t="inlineStr">
        <is>
          <t>PLAN-13/RF11</t>
        </is>
      </c>
      <c r="C45" s="83" t="inlineStr">
        <is>
          <t>Solicitud de datos de envio: hora, dia, puerto</t>
        </is>
      </c>
      <c r="D45" s="85" t="inlineStr">
        <is>
          <t>Textual</t>
        </is>
      </c>
      <c r="E45" s="85" t="n">
        <v>1</v>
      </c>
      <c r="F45" s="85" t="n">
        <v>1</v>
      </c>
      <c r="G45" s="85" t="inlineStr">
        <is>
          <t>No</t>
        </is>
      </c>
      <c r="H45" s="87">
        <f>IF(AND(E45=1,F45=1),1,0)</f>
        <v/>
      </c>
      <c r="I45" s="83" t="inlineStr">
        <is>
          <t>Aguas arriba: Registro/Matriz RF11.
 Aguas abajo: Product Backlog S3 RF11 Terminado; 03_MODELO_DE_DATOS.md documenta Product.puerto y OrderProduct con fechas de reserva; 02_ARQUITECTURA.md documenta checkout en orders.</t>
        </is>
      </c>
      <c r="J45" s="83" t="n"/>
    </row>
    <row r="46" ht="66" customHeight="1">
      <c r="A46" s="90" t="inlineStr">
        <is>
          <t>ART-B-PLAN</t>
        </is>
      </c>
      <c r="B46" s="85" t="inlineStr">
        <is>
          <t>PLAN-14/RF12</t>
        </is>
      </c>
      <c r="C46" s="83" t="inlineStr">
        <is>
          <t>Solicitud de datos de pago</t>
        </is>
      </c>
      <c r="D46" s="85" t="inlineStr">
        <is>
          <t>Textual</t>
        </is>
      </c>
      <c r="E46" s="85" t="n">
        <v>1</v>
      </c>
      <c r="F46" s="85" t="n">
        <v>1</v>
      </c>
      <c r="G46" s="85" t="inlineStr">
        <is>
          <t>No</t>
        </is>
      </c>
      <c r="H46" s="87">
        <f>IF(AND(E46=1,F46=1),1,0)</f>
        <v/>
      </c>
      <c r="I46" s="83" t="inlineStr">
        <is>
          <t>Aguas arriba: Registro/Matriz RF12. 
Aguas abajo: Product Backlog S3 RF12 Terminado; 02_ARQUITECTURA.md documenta orders/views.py payments y PayPal/contra-reembolso; 03_MODELO_DE_DATOS.md documenta Payment.</t>
        </is>
      </c>
      <c r="J46" s="83" t="n"/>
    </row>
    <row r="47" ht="52.8" customHeight="1">
      <c r="A47" s="90" t="inlineStr">
        <is>
          <t>ART-B-PLAN</t>
        </is>
      </c>
      <c r="B47" s="85" t="inlineStr">
        <is>
          <t>PLAN-15/RF13b</t>
        </is>
      </c>
      <c r="C47" s="83" t="inlineStr">
        <is>
          <t>Estados de alquiler y pago posterior</t>
        </is>
      </c>
      <c r="D47" s="85" t="inlineStr">
        <is>
          <t>Textual</t>
        </is>
      </c>
      <c r="E47" s="85" t="n">
        <v>1</v>
      </c>
      <c r="F47" s="85" t="n">
        <v>1</v>
      </c>
      <c r="G47" s="85" t="inlineStr">
        <is>
          <t>No</t>
        </is>
      </c>
      <c r="H47" s="87">
        <f>IF(AND(E47=1,F47=1),1,0)</f>
        <v/>
      </c>
      <c r="I47" s="83" t="inlineStr">
        <is>
          <t>Aguas arriba: Registro RF13b/Matriz RF13. 
Aguas abajo: Product Backlog S3 RF13b Terminado; 02_ARQUITECTURA.md documenta orders con mark_pending y CRUD admin; 03_MODELO_DE_DATOS.md documenta Order/Payment.</t>
        </is>
      </c>
      <c r="J47" s="83" t="inlineStr">
        <is>
          <t>ID evolucionado RF13 -&gt; RF13b; trazabilidad por funcion.</t>
        </is>
      </c>
    </row>
    <row r="48" ht="52.8" customHeight="1">
      <c r="A48" s="90" t="inlineStr">
        <is>
          <t>ART-B-PLAN</t>
        </is>
      </c>
      <c r="B48" s="85" t="inlineStr">
        <is>
          <t>PLAN-16/RF14</t>
        </is>
      </c>
      <c r="C48" s="83" t="inlineStr">
        <is>
          <t>Correo al completar alquiler</t>
        </is>
      </c>
      <c r="D48" s="85" t="inlineStr">
        <is>
          <t>Textual</t>
        </is>
      </c>
      <c r="E48" s="85" t="n">
        <v>1</v>
      </c>
      <c r="F48" s="85" t="n">
        <v>1</v>
      </c>
      <c r="G48" s="85" t="inlineStr">
        <is>
          <t>No</t>
        </is>
      </c>
      <c r="H48" s="87">
        <f>IF(AND(E48=1,F48=1),1,0)</f>
        <v/>
      </c>
      <c r="I48" s="83" t="inlineStr">
        <is>
          <t>Aguas arriba: Registro/Matriz RF14. 
Aguas abajo: Product Backlog S3 RF14 Terminado; 02_ARQUITECTURA.md documenta orders/views.py order_complete y configuracion email en ecommerce/settings.py.</t>
        </is>
      </c>
      <c r="J48" s="83" t="n"/>
    </row>
    <row r="49" ht="52.8" customHeight="1">
      <c r="A49" s="90" t="inlineStr">
        <is>
          <t>ART-B-PLAN</t>
        </is>
      </c>
      <c r="B49" s="85" t="inlineStr">
        <is>
          <t>PLAN-17/RF9</t>
        </is>
      </c>
      <c r="C49" s="83" t="inlineStr">
        <is>
          <t>Añadir a cesta y completar alquiler</t>
        </is>
      </c>
      <c r="D49" s="85" t="inlineStr">
        <is>
          <t>Textual</t>
        </is>
      </c>
      <c r="E49" s="85" t="n">
        <v>1</v>
      </c>
      <c r="F49" s="85" t="n">
        <v>1</v>
      </c>
      <c r="G49" s="85" t="inlineStr">
        <is>
          <t>No</t>
        </is>
      </c>
      <c r="H49" s="87">
        <f>IF(AND(E49=1,F49=1),1,0)</f>
        <v/>
      </c>
      <c r="I49" s="83" t="inlineStr">
        <is>
          <t>Aguas arriba: Registro/Matriz RF9. 
Aguas abajo: Product Backlog S3 RF9 Terminado; 02_ARQUITECTURA.md documenta carts views add_cart/cart/checkout; 03_MODELO_DE_DATOS.md documenta Cart y CartItem.</t>
        </is>
      </c>
      <c r="J49" s="83" t="n"/>
    </row>
    <row r="50" ht="52.8" customHeight="1">
      <c r="A50" s="90" t="inlineStr">
        <is>
          <t>ART-B-PLAN</t>
        </is>
      </c>
      <c r="B50" s="85" t="inlineStr">
        <is>
          <t>PLAN-18/RP1</t>
        </is>
      </c>
      <c r="C50" s="83" t="inlineStr">
        <is>
          <t>Versiones para pruebas disponibles en PaaS</t>
        </is>
      </c>
      <c r="D50" s="85" t="inlineStr">
        <is>
          <t>Textual</t>
        </is>
      </c>
      <c r="E50" s="85" t="n">
        <v>1</v>
      </c>
      <c r="F50" s="85" t="n">
        <v>1</v>
      </c>
      <c r="G50" s="85" t="inlineStr">
        <is>
          <t>No</t>
        </is>
      </c>
      <c r="H50" s="87">
        <f>IF(AND(E50=1,F50=1),1,0)</f>
        <v/>
      </c>
      <c r="I50" s="83" t="inlineStr">
        <is>
          <t>Aguas arriba: Registro/Matriz RP1. 
Aguas abajo: Product Backlog S3 RP1 Terminado; Sprint 1 Planning decide usar Render; 02_ARQUITECTURA.md documenta Dockerfile y docker-compose.yml como soporte de despliegue.</t>
        </is>
      </c>
      <c r="J50" s="83" t="n"/>
    </row>
    <row r="51" ht="52.8" customHeight="1">
      <c r="A51" s="90" t="inlineStr">
        <is>
          <t>ART-B-PLAN</t>
        </is>
      </c>
      <c r="B51" s="85" t="inlineStr">
        <is>
          <t>PLAN-19/RO1</t>
        </is>
      </c>
      <c r="C51" s="83" t="inlineStr">
        <is>
          <t>Manual de usuario e instrucciones de puesta en produccion</t>
        </is>
      </c>
      <c r="D51" s="85" t="inlineStr">
        <is>
          <t>Textual</t>
        </is>
      </c>
      <c r="E51" s="85" t="n">
        <v>1</v>
      </c>
      <c r="F51" s="85" t="n">
        <v>1</v>
      </c>
      <c r="G51" s="85" t="inlineStr">
        <is>
          <t>No</t>
        </is>
      </c>
      <c r="H51" s="87">
        <f>IF(AND(E51=1,F51=1),1,0)</f>
        <v/>
      </c>
      <c r="I51" s="83" t="inlineStr">
        <is>
          <t>Aguas arriba: Registro/Matriz RO1. 
Aguas abajo: Sprint 3 Planning planifica manual/despliegue y Product Backlog S3 RO1 Terminado; Informe de cierre lista informes finales generados.</t>
        </is>
      </c>
      <c r="J51" s="83" t="inlineStr">
        <is>
          <t>Trazabilidad documental, no de codigo.</t>
        </is>
      </c>
    </row>
    <row r="52" ht="52.8" customHeight="1">
      <c r="A52" s="90" t="inlineStr">
        <is>
          <t>ART-B-PLAN</t>
        </is>
      </c>
      <c r="B52" s="85" t="inlineStr">
        <is>
          <t>PLAN-20/RO2</t>
        </is>
      </c>
      <c r="C52" s="83" t="inlineStr">
        <is>
          <t>Uso de ciclo de vida hibrido</t>
        </is>
      </c>
      <c r="D52" s="85" t="inlineStr">
        <is>
          <t>Textual</t>
        </is>
      </c>
      <c r="E52" s="85" t="n">
        <v>1</v>
      </c>
      <c r="F52" s="85" t="n">
        <v>0</v>
      </c>
      <c r="G52" s="85" t="inlineStr">
        <is>
          <t>No</t>
        </is>
      </c>
      <c r="H52" s="87">
        <f>IF(AND(E52=1,F52=1),1,0)</f>
        <v/>
      </c>
      <c r="I52" s="83" t="inlineStr">
        <is>
          <t>Aguas arriba: Registro/Matriz RO2. 
Aguas abajo: Product Backlog S3 lo marca Terminado, pero no hay artefacto tecnico o entregable especifico en la evidencia baseline que materialice el ciclo hibrido como item verificable.</t>
        </is>
      </c>
      <c r="J52" s="83" t="inlineStr">
        <is>
          <t>Propuesto NO trazable: evidencia de proceso insuficiente como entregable aguas abajo.</t>
        </is>
      </c>
    </row>
    <row r="53" ht="52.8" customHeight="1">
      <c r="A53" s="90" t="inlineStr">
        <is>
          <t>ART-B-PLAN</t>
        </is>
      </c>
      <c r="B53" s="85" t="inlineStr">
        <is>
          <t>PLAN-21/RO3</t>
        </is>
      </c>
      <c r="C53" s="83" t="inlineStr">
        <is>
          <t>Uso de plantillas de la organizacion</t>
        </is>
      </c>
      <c r="D53" s="85" t="inlineStr">
        <is>
          <t>Textual</t>
        </is>
      </c>
      <c r="E53" s="85" t="n">
        <v>1</v>
      </c>
      <c r="F53" s="85" t="n">
        <v>0</v>
      </c>
      <c r="G53" s="85" t="inlineStr">
        <is>
          <t>No</t>
        </is>
      </c>
      <c r="H53" s="87">
        <f>IF(AND(E53=1,F53=1),1,0)</f>
        <v/>
      </c>
      <c r="I53" s="83" t="inlineStr">
        <is>
          <t>Aguas arriba: Registro/Matriz RO3. 
Aguas abajo: Product Backlog S3 lo marca Terminado, pero no hay evidencia especifica que permita verificar que plantilla se aplica como entregable.</t>
        </is>
      </c>
      <c r="J53" s="83" t="inlineStr">
        <is>
          <t>Propuesto NO trazable: falta evidencia aguas abajo especifica.</t>
        </is>
      </c>
    </row>
    <row r="54" ht="52.8" customHeight="1">
      <c r="A54" s="90" t="inlineStr">
        <is>
          <t>ART-B-PLAN</t>
        </is>
      </c>
      <c r="B54" s="85" t="inlineStr">
        <is>
          <t>PLAN-22/RF16b</t>
        </is>
      </c>
      <c r="C54" s="83" t="inlineStr">
        <is>
          <t>Usuarios registrados pueden ser clientes o administradores</t>
        </is>
      </c>
      <c r="D54" s="85" t="inlineStr">
        <is>
          <t>Textual</t>
        </is>
      </c>
      <c r="E54" s="85" t="n">
        <v>1</v>
      </c>
      <c r="F54" s="85" t="n">
        <v>1</v>
      </c>
      <c r="G54" s="85" t="inlineStr">
        <is>
          <t>No</t>
        </is>
      </c>
      <c r="H54" s="87">
        <f>IF(AND(E54=1,F54=1),1,0)</f>
        <v/>
      </c>
      <c r="I54" s="83" t="inlineStr">
        <is>
          <t>Aguas arriba: Registro contiene la funcion como RF16 y Matriz como RF17. 
Aguas abajo: Product Backlog S3 RF16 Terminado; 03_MODELO_DE_DATOS.md documenta Account con is_admin/is_staff/is_superadmin.</t>
        </is>
      </c>
      <c r="J54" s="83" t="inlineStr">
        <is>
          <t>ID desplazado entre Registro/Matriz; trazable por funcion.</t>
        </is>
      </c>
    </row>
    <row r="55" ht="52.8" customHeight="1">
      <c r="A55" s="90" t="inlineStr">
        <is>
          <t>ART-B-PLAN</t>
        </is>
      </c>
      <c r="B55" s="85" t="inlineStr">
        <is>
          <t>PLAN-23/RF17</t>
        </is>
      </c>
      <c r="C55" s="83" t="inlineStr">
        <is>
          <t>Cliente ve productos y unicamente sus alquileres</t>
        </is>
      </c>
      <c r="D55" s="85" t="inlineStr">
        <is>
          <t>Textual</t>
        </is>
      </c>
      <c r="E55" s="85" t="n">
        <v>1</v>
      </c>
      <c r="F55" s="85" t="n">
        <v>1</v>
      </c>
      <c r="G55" s="85" t="inlineStr">
        <is>
          <t>No</t>
        </is>
      </c>
      <c r="H55" s="87">
        <f>IF(AND(E55=1,F55=1),1,0)</f>
        <v/>
      </c>
      <c r="I55" s="83" t="inlineStr">
        <is>
          <t>Aguas arriba: Registro RF17/Matriz RF18. 
Aguas abajo: Product Backlog S3 RF17 Terminado; 02_ARQUITECTURA.md documenta store y orders con historial de reservas; 03_MODELO_DE_DATOS.md documenta Order ligado a Account.</t>
        </is>
      </c>
      <c r="J55" s="83" t="n"/>
    </row>
    <row r="56" ht="66" customHeight="1">
      <c r="A56" s="90" t="inlineStr">
        <is>
          <t>ART-B-PLAN</t>
        </is>
      </c>
      <c r="B56" s="85" t="inlineStr">
        <is>
          <t>PLAN-24/RF18</t>
        </is>
      </c>
      <c r="C56" s="83" t="inlineStr">
        <is>
          <t>Administrador ve/edita productos y revisa todos los alquileres</t>
        </is>
      </c>
      <c r="D56" s="85" t="inlineStr">
        <is>
          <t>Textual</t>
        </is>
      </c>
      <c r="E56" s="85" t="n">
        <v>1</v>
      </c>
      <c r="F56" s="85" t="n">
        <v>1</v>
      </c>
      <c r="G56" s="85" t="inlineStr">
        <is>
          <t>No</t>
        </is>
      </c>
      <c r="H56" s="87">
        <f>IF(AND(E56=1,F56=1),1,0)</f>
        <v/>
      </c>
      <c r="I56" s="83" t="inlineStr">
        <is>
          <t>Aguas arriba: Registro RF18/Matriz RF19. 
Aguas abajo: Product Backlog S3 RF18 Terminado; 02_ARQUITECTURA.md documenta CRUD admin de barcos, lista de usuarios y reservas; 03_MODELO_DE_DATOS.md documenta admin/Account/Order.</t>
        </is>
      </c>
      <c r="J56" s="83" t="n"/>
    </row>
    <row r="57" ht="52.8" customHeight="1">
      <c r="A57" s="90" t="inlineStr">
        <is>
          <t>ART-B-PLAN</t>
        </is>
      </c>
      <c r="B57" s="85" t="inlineStr">
        <is>
          <t>PLAN-25/RNF8</t>
        </is>
      </c>
      <c r="C57" s="83" t="inlineStr">
        <is>
          <t>Aviso de no devolucion de importe/fianza al cancelar</t>
        </is>
      </c>
      <c r="D57" s="85" t="inlineStr">
        <is>
          <t>Textual</t>
        </is>
      </c>
      <c r="E57" s="85" t="n">
        <v>1</v>
      </c>
      <c r="F57" s="85" t="n">
        <v>1</v>
      </c>
      <c r="G57" s="85" t="inlineStr">
        <is>
          <t>No</t>
        </is>
      </c>
      <c r="H57" s="87">
        <f>IF(AND(E57=1,F57=1),1,0)</f>
        <v/>
      </c>
      <c r="I57" s="83" t="inlineStr">
        <is>
          <t>Aguas arriba: Registro/Matriz RNF8. 
Aguas abajo: Product Backlog S3 RNF8 Terminado; Informe de cierre y modelo de pedidos/pagos documentan gestion de pagos, estados e incidencias asociadas a fianza/devolucion.</t>
        </is>
      </c>
      <c r="J57" s="83" t="inlineStr">
        <is>
          <t>Trazabilidad funcional indirecta; suficiente por coincidencia con pago/cancelacion.</t>
        </is>
      </c>
    </row>
    <row r="58" ht="52.8" customHeight="1">
      <c r="A58" s="90" t="inlineStr">
        <is>
          <t>ART-B-PLAN</t>
        </is>
      </c>
      <c r="B58" s="85" t="inlineStr">
        <is>
          <t>PLAN-26/RNF9</t>
        </is>
      </c>
      <c r="C58" s="83" t="inlineStr">
        <is>
          <t>Tasa de combustible y excepcion para velero</t>
        </is>
      </c>
      <c r="D58" s="85" t="inlineStr">
        <is>
          <t>Textual</t>
        </is>
      </c>
      <c r="E58" s="85" t="n">
        <v>1</v>
      </c>
      <c r="F58" s="85" t="n">
        <v>1</v>
      </c>
      <c r="G58" s="85" t="inlineStr">
        <is>
          <t>No</t>
        </is>
      </c>
      <c r="H58" s="87">
        <f>IF(AND(E58=1,F58=1),1,0)</f>
        <v/>
      </c>
      <c r="I58" s="83" t="inlineStr">
        <is>
          <t>Aguas arriba: Registro/Matriz RNF9. 
Aguas abajo: Product Backlog S3 RNF9 Terminado; funcion vinculada al calculo de reserva/pedido en orders/carts y precios por dia documentados en 03_MODELO_DE_DATOS.md.</t>
        </is>
      </c>
      <c r="J58" s="83" t="inlineStr">
        <is>
          <t>Trazabilidad por funcion de negocio; no aparece como campo aislado.</t>
        </is>
      </c>
    </row>
    <row r="59" ht="52.8" customHeight="1">
      <c r="A59" s="90" t="inlineStr">
        <is>
          <t>ART-B-PLAN</t>
        </is>
      </c>
      <c r="B59" s="85" t="inlineStr">
        <is>
          <t>PLAN-27/RF3</t>
        </is>
      </c>
      <c r="C59" s="83" t="inlineStr">
        <is>
          <t>Reserva sin inicio de sesion obligatorio</t>
        </is>
      </c>
      <c r="D59" s="85" t="inlineStr">
        <is>
          <t>Textual</t>
        </is>
      </c>
      <c r="E59" s="85" t="n">
        <v>1</v>
      </c>
      <c r="F59" s="85" t="n">
        <v>1</v>
      </c>
      <c r="G59" s="85" t="inlineStr">
        <is>
          <t>No</t>
        </is>
      </c>
      <c r="H59" s="87">
        <f>IF(AND(E59=1,F59=1),1,0)</f>
        <v/>
      </c>
      <c r="I59" s="83" t="inlineStr">
        <is>
          <t>Aguas arriba: Registro/Matriz RF3. 
Aguas abajo: Product Backlog S3 RF3 Terminado; 02_ARQUITECTURA.md documenta carts/checkout y orders como flujo de reserva; requisito se conserva en backlog final.</t>
        </is>
      </c>
      <c r="J59" s="83" t="n"/>
    </row>
    <row r="60" ht="52.8" customHeight="1">
      <c r="A60" s="90" t="inlineStr">
        <is>
          <t>ART-B-PLAN</t>
        </is>
      </c>
      <c r="B60" s="85" t="inlineStr">
        <is>
          <t>PLAN-28/RNF3</t>
        </is>
      </c>
      <c r="C60" s="83" t="inlineStr">
        <is>
          <t>Seguridad percibida durante el alquiler</t>
        </is>
      </c>
      <c r="D60" s="85" t="inlineStr">
        <is>
          <t>Textual</t>
        </is>
      </c>
      <c r="E60" s="85" t="n">
        <v>1</v>
      </c>
      <c r="F60" s="85" t="n">
        <v>1</v>
      </c>
      <c r="G60" s="85" t="inlineStr">
        <is>
          <t>No</t>
        </is>
      </c>
      <c r="H60" s="87">
        <f>IF(AND(E60=1,F60=1),1,0)</f>
        <v/>
      </c>
      <c r="I60" s="83" t="inlineStr">
        <is>
          <t>Aguas arriba: Registro/Matriz RNF3. 
Aguas abajo: Product Backlog S3 RNF3 Terminado; 02_ARQUITECTURA.md documenta autenticacion accounts y proceso de checkout/pagos.</t>
        </is>
      </c>
      <c r="J60" s="83" t="inlineStr">
        <is>
          <t>Trazabilidad funcional indirecta por autenticacion/checkout.</t>
        </is>
      </c>
    </row>
    <row r="61" ht="52.8" customHeight="1">
      <c r="A61" s="90" t="inlineStr">
        <is>
          <t>ART-B-PLAN</t>
        </is>
      </c>
      <c r="B61" s="85" t="inlineStr">
        <is>
          <t>PLAN-29/RF5</t>
        </is>
      </c>
      <c r="C61" s="83" t="inlineStr">
        <is>
          <t>Acceso al tiempo restante de alquiler</t>
        </is>
      </c>
      <c r="D61" s="85" t="inlineStr">
        <is>
          <t>Textual</t>
        </is>
      </c>
      <c r="E61" s="85" t="n">
        <v>1</v>
      </c>
      <c r="F61" s="85" t="n">
        <v>1</v>
      </c>
      <c r="G61" s="85" t="inlineStr">
        <is>
          <t>No</t>
        </is>
      </c>
      <c r="H61" s="87">
        <f>IF(AND(E61=1,F61=1),1,0)</f>
        <v/>
      </c>
      <c r="I61" s="83" t="inlineStr">
        <is>
          <t>Aguas arriba: Registro/Matriz RF5. 
Aguas abajo: Product Backlog S3 RF5 Terminado; 03_MODELO_DE_DATOS.md documenta OrderProduct con fechas de reserva y Order con seguimiento.</t>
        </is>
      </c>
      <c r="J61" s="83" t="n"/>
    </row>
    <row r="62" ht="52.8" customHeight="1">
      <c r="A62" s="90" t="inlineStr">
        <is>
          <t>ART-B-PLAN</t>
        </is>
      </c>
      <c r="B62" s="85" t="inlineStr">
        <is>
          <t>PLAN-30/RF7</t>
        </is>
      </c>
      <c r="C62" s="83" t="inlineStr">
        <is>
          <t>Código de seguimiento asociado al alquiler</t>
        </is>
      </c>
      <c r="D62" s="85" t="inlineStr">
        <is>
          <t>Textual</t>
        </is>
      </c>
      <c r="E62" s="85" t="n">
        <v>1</v>
      </c>
      <c r="F62" s="85" t="n">
        <v>1</v>
      </c>
      <c r="G62" s="85" t="inlineStr">
        <is>
          <t>No</t>
        </is>
      </c>
      <c r="H62" s="87">
        <f>IF(AND(E62=1,F62=1),1,0)</f>
        <v/>
      </c>
      <c r="I62" s="83" t="inlineStr">
        <is>
          <t>Aguas arriba: Registro/Matriz RF7. 
Aguas abajo: Product Backlog S3 RF7 Terminado; 03_MODELO_DE_DATOS.md documenta Order.order_note reutilizado para codigo RES-XXXX de seguimiento.</t>
        </is>
      </c>
      <c r="J62" s="83" t="n"/>
    </row>
    <row r="63" ht="79.2" customHeight="1">
      <c r="A63" s="89" t="inlineStr">
        <is>
          <t>ART-B-DIS</t>
        </is>
      </c>
      <c r="B63" s="85" t="inlineStr">
        <is>
          <t>DIS-01</t>
        </is>
      </c>
      <c r="C63" s="83" t="inlineStr">
        <is>
          <t>Arquitectura/apps Django principales (accounts, category, store, carts, orders)</t>
        </is>
      </c>
      <c r="D63" s="85" t="inlineStr">
        <is>
          <t>Textual</t>
        </is>
      </c>
      <c r="E63" s="85" t="n">
        <v>1</v>
      </c>
      <c r="F63" s="85" t="n">
        <v>1</v>
      </c>
      <c r="G63" s="85" t="inlineStr">
        <is>
          <t>No</t>
        </is>
      </c>
      <c r="H63" s="87">
        <f>IF(AND(E63=1,F63=1),1,0)</f>
        <v/>
      </c>
      <c r="I63" s="83" t="inlineStr">
        <is>
          <t>Aguas arriba: RF1/RF2/RF3/RF12/RF13b/RF16-RF18 justifican catologo, alquiler/reserva, pagos y roles. 
Aguas abajo: 02_ARQUITECTURA.md enumera apps, accounts, category, store, carts y orders con models.py, views.py, urls.py y admin.py.</t>
        </is>
      </c>
      <c r="J63" s="83" t="inlineStr">
        <is>
          <t>Baseline reconstruido ex post; se aplica lectura inversa declarada en 4.3.3: lo construido queda documentado por la auditoria tecnica.</t>
        </is>
      </c>
    </row>
    <row r="64" ht="52.8" customHeight="1">
      <c r="A64" s="89" t="inlineStr">
        <is>
          <t>ART-B-DIS</t>
        </is>
      </c>
      <c r="B64" s="85" t="inlineStr">
        <is>
          <t>DIS-02</t>
        </is>
      </c>
      <c r="C64" s="83" t="inlineStr">
        <is>
          <t>Modelo de datos principal del sistema (usuarios, cat?logo/barcos, carrito/reserva, pagos/pedidos)</t>
        </is>
      </c>
      <c r="D64" s="85" t="inlineStr">
        <is>
          <t>Textual</t>
        </is>
      </c>
      <c r="E64" s="85" t="n">
        <v>1</v>
      </c>
      <c r="F64" s="85" t="n">
        <v>1</v>
      </c>
      <c r="G64" s="85" t="inlineStr">
        <is>
          <t>No</t>
        </is>
      </c>
      <c r="H64" s="87">
        <f>IF(AND(E64=1,F64=1),1,0)</f>
        <v/>
      </c>
      <c r="I64" s="83" t="inlineStr">
        <is>
          <t>Aguas arriba: RF/RNF sobre usuarios, barcos/categorias, proceso de alquiler, datos de pago y estados del alquiler. Aguas abajo: 03_MODELO_DE_DATOS.md documenta Category, Account/UserProfile, Product/Puerto/Fabricante, Cart/CartItem, Payment/Order/OrderProduct.</t>
        </is>
      </c>
      <c r="J64" s="83" t="inlineStr">
        <is>
          <t>Caso claro: los modelos auditados materializan las funciones nucleares del registro de requisitos.</t>
        </is>
      </c>
    </row>
    <row r="65" ht="66" customHeight="1">
      <c r="A65" s="89" t="inlineStr">
        <is>
          <t>ART-B-SEG-S1</t>
        </is>
      </c>
      <c r="B65" s="85" t="inlineStr">
        <is>
          <t>SEG-S1-01</t>
        </is>
      </c>
      <c r="C65" s="83" t="inlineStr">
        <is>
          <t>Cumplimiento de issues funcionales planificados en Sprint 1 (reserva, catologo/filtros, usuarios/roles, CRUD barcos)</t>
        </is>
      </c>
      <c r="D65" s="85" t="inlineStr">
        <is>
          <t>Textual</t>
        </is>
      </c>
      <c r="E65" s="85" t="n">
        <v>1</v>
      </c>
      <c r="F65" s="85" t="n">
        <v>1</v>
      </c>
      <c r="G65" s="85" t="inlineStr">
        <is>
          <t>No</t>
        </is>
      </c>
      <c r="H65" s="87">
        <f>IF(AND(E65=1,F65=1),1,0)</f>
        <v/>
      </c>
      <c r="I65" s="83" t="inlineStr">
        <is>
          <t>Aguas arriba: Sprint 1 - Planning.pdf lista issues 1-4: reserva de barco, catologo/filtro, usuarios con roles y CRUD de barcos. 
Aguas abajo: Sprint 1 - Review.pdf declara que todas las tareas planificadas para el Sprint 1 fueron completadas; Product Backlog S1 marca Terminado en RF1/RNF1/RF2/RNF2/RNF4/RF4/RF6/RNF5/RF8/RF16/RNF6.</t>
        </is>
      </c>
      <c r="J65" s="83" t="inlineStr">
        <is>
          <t>Caso claro; seguimiento narrativo normalizado a item agregado por N=2 cerrado en la planilla.</t>
        </is>
      </c>
    </row>
    <row r="66" ht="52.8" customHeight="1">
      <c r="A66" s="89" t="inlineStr">
        <is>
          <t>ART-B-SEG-S1</t>
        </is>
      </c>
      <c r="B66" s="85" t="inlineStr">
        <is>
          <t>SEG-S1-02</t>
        </is>
      </c>
      <c r="C66" s="83" t="inlineStr">
        <is>
          <t>Continuidad del Sprint 1 hacia Sprint 2 tras cierre completo de tareas</t>
        </is>
      </c>
      <c r="D66" s="85" t="inlineStr">
        <is>
          <t>Textual</t>
        </is>
      </c>
      <c r="E66" s="85" t="n">
        <v>1</v>
      </c>
      <c r="F66" s="85" t="n">
        <v>1</v>
      </c>
      <c r="G66" s="85" t="inlineStr">
        <is>
          <t>No</t>
        </is>
      </c>
      <c r="H66" s="87">
        <f>IF(AND(E66=1,F66=1),1,0)</f>
        <v/>
      </c>
      <c r="I66" s="83" t="inlineStr">
        <is>
          <t>Aguas arriba: Sprint 1 - Planning.pdf fija el primer bloque de trabajo y decisiones tecnicas de coordinacion/despliegue. Aguas abajo: Sprint 1 - Review.pdf indica que Sprint 2 continua con la planificaciin realizada porque todas las tareas del Sprint 1 se completaron.</t>
        </is>
      </c>
      <c r="J66" s="83" t="inlineStr">
        <is>
          <t>Caso claro; el enlace aguas abajo es cierre de review y continuidad explicita, no commit individual.</t>
        </is>
      </c>
    </row>
    <row r="67" ht="68.40000000000001" customHeight="1">
      <c r="A67" s="89" t="inlineStr">
        <is>
          <t>ART-B-SEG-S2</t>
        </is>
      </c>
      <c r="B67" s="85" t="inlineStr">
        <is>
          <t>SEG-S2-01</t>
        </is>
      </c>
      <c r="C67" s="83" t="inlineStr">
        <is>
          <t>Cumplimiento parcial/verificado de tareas del Sprint 2 (despliegue, admin y funciones de alquiler ya terminadas en backlog)</t>
        </is>
      </c>
      <c r="D67" s="85" t="inlineStr">
        <is>
          <t>Textual</t>
        </is>
      </c>
      <c r="E67" s="85" t="n">
        <v>1</v>
      </c>
      <c r="F67" s="85" t="n">
        <v>1</v>
      </c>
      <c r="G67" s="85" t="inlineStr">
        <is>
          <t>No</t>
        </is>
      </c>
      <c r="H67" s="87">
        <f>IF(AND(E67=1,F67=1),1,0)</f>
        <v/>
      </c>
      <c r="I67" s="83" t="inlineStr">
        <is>
          <t>Aguas arriba: Sprint 2 - Planning.pdf define issues 5-8: pagos online, pagos contra reembolso, despliegue y módulo administrador. 
Aguas abajo: Sprint 2 - Product Backlog.pdf marca Terminado en RF10, RF11, RF13, RF14, RF9, RP1, RO2, RO3, RF16, RF18, RNF9, RF3 y RF7; Sprint 2 - Review.pdf confirma que todas las tareas salvo pagos y seguimiento se completaron.</t>
        </is>
      </c>
      <c r="J67" s="83" t="inlineStr">
        <is>
          <t>Caso claro: el review distingue explicitamente completado vs pendiente, por lo que el seguimiento es auditable.</t>
        </is>
      </c>
    </row>
    <row r="68" ht="66" customHeight="1">
      <c r="A68" s="89" t="inlineStr">
        <is>
          <t>ART-B-SEG-S2</t>
        </is>
      </c>
      <c r="B68" s="85" t="inlineStr">
        <is>
          <t>SEG-S2-02</t>
        </is>
      </c>
      <c r="C68" s="83" t="inlineStr">
        <is>
          <t>Arrastre controlado de sistema de pagos y seguimiento de pedidos hacia Sprint 3</t>
        </is>
      </c>
      <c r="D68" s="85" t="inlineStr">
        <is>
          <t>Textual</t>
        </is>
      </c>
      <c r="E68" s="85" t="n">
        <v>1</v>
      </c>
      <c r="F68" s="85" t="n">
        <v>1</v>
      </c>
      <c r="G68" s="85" t="inlineStr">
        <is>
          <t>No</t>
        </is>
      </c>
      <c r="H68" s="87">
        <f>IF(AND(E68=1,F68=1),1,0)</f>
        <v/>
      </c>
      <c r="I68" s="83" t="inlineStr">
        <is>
          <t>Aguas arriba: Sprint 2 - Planning.pdf incluye sistema de pagos online, pago contra reembolso y despliegue/admin. Aguas abajo: Sprint 2 - Review.pdf declara que pagos y seguimiento de pedidos no se completaron y que se completaran en Sprint 3; Sprint 3 - Planning.pdf los recoge como tareas continuadas.</t>
        </is>
      </c>
      <c r="J68" s="83" t="inlineStr">
        <is>
          <t>Caso claro: no es fallo de trazabilidad, sino continuidad documentada hacia el sprint siguiente.</t>
        </is>
      </c>
    </row>
    <row r="69" ht="79.2" customHeight="1">
      <c r="A69" s="89" t="inlineStr">
        <is>
          <t>ART-B-SEG-S3</t>
        </is>
      </c>
      <c r="B69" s="85" t="inlineStr">
        <is>
          <t>SEG-S3-01</t>
        </is>
      </c>
      <c r="C69" s="83" t="inlineStr">
        <is>
          <t>Cierre de tareas continuadas del Sprint 3: pagos, seguimiento, pruebas y manual/despliegue</t>
        </is>
      </c>
      <c r="D69" s="85" t="inlineStr">
        <is>
          <t>Textual</t>
        </is>
      </c>
      <c r="E69" s="85" t="n">
        <v>1</v>
      </c>
      <c r="F69" s="85" t="n">
        <v>1</v>
      </c>
      <c r="G69" s="85" t="inlineStr">
        <is>
          <t>No</t>
        </is>
      </c>
      <c r="H69" s="87">
        <f>IF(AND(E69=1,F69=1),1,0)</f>
        <v/>
      </c>
      <c r="I69" s="83" t="inlineStr">
        <is>
          <t>Aguas arriba: Sprint 3 - Planning.pdf lista pagos (RF13/RF12/RF11/RF9/RNF7/RNF8/RNF9), seguimiento de pedidos (RF14/RF15), pruebas finales y manual/despliegue (RO1). 
Aguas abajo: Sprint 3 - Product Backlog.pdf marca Terminado en RF12, RF13b, RF14, RO1, RF17, RNF8, RNF9, RF5 y RF7; Sprint 3 - Review.pdf declara completadas todas las tareas planificadas.</t>
        </is>
      </c>
      <c r="J69" s="83" t="inlineStr">
        <is>
          <t>Caso claro; recoge explicitamente las tareas arrastradas del Sprint 2.</t>
        </is>
      </c>
    </row>
    <row r="70" ht="66" customHeight="1">
      <c r="A70" s="89" t="inlineStr">
        <is>
          <t>ART-B-SEG-S3</t>
        </is>
      </c>
      <c r="B70" s="85" t="inlineStr">
        <is>
          <t>SEG-S3-02</t>
        </is>
      </c>
      <c r="C70" s="83" t="inlineStr">
        <is>
          <t>Paso a cierre del proyecto con tareas del Sprint 3 completadas</t>
        </is>
      </c>
      <c r="D70" s="85" t="inlineStr">
        <is>
          <t>Textual</t>
        </is>
      </c>
      <c r="E70" s="85" t="n">
        <v>1</v>
      </c>
      <c r="F70" s="85" t="n">
        <v>1</v>
      </c>
      <c r="G70" s="85" t="inlineStr">
        <is>
          <t>No</t>
        </is>
      </c>
      <c r="H70" s="87">
        <f>IF(AND(E70=1,F70=1),1,0)</f>
        <v/>
      </c>
      <c r="I70" s="83" t="inlineStr">
        <is>
          <t>Aguas arriba: Sprint 3 - Planning.pdf define el bloque final de implementacion y validacion. 
Aguas abajo: Sprint 3 - Review.pdf indica que todas las tareas planificadas para Sprint 3 se completaron y que el cierre continua de acuerdo con la planificacion realizada.</t>
        </is>
      </c>
      <c r="J70" s="83" t="inlineStr">
        <is>
          <t>Caso claro; enlace de cierre documentado por el review del sprint.</t>
        </is>
      </c>
    </row>
    <row r="71" ht="79.2" customHeight="1">
      <c r="A71" s="89" t="inlineStr">
        <is>
          <t>ART-B-CIE</t>
        </is>
      </c>
      <c r="B71" s="85" t="inlineStr">
        <is>
          <t>CIE-01</t>
        </is>
      </c>
      <c r="C71" s="83" t="inlineStr">
        <is>
          <t>Leccion sobre definicion inicial de requisitos, alcance y cronograma</t>
        </is>
      </c>
      <c r="D71" s="85" t="inlineStr">
        <is>
          <t>Textual</t>
        </is>
      </c>
      <c r="E71" s="85" t="n">
        <v>1</v>
      </c>
      <c r="F71" s="85" t="n">
        <v>1</v>
      </c>
      <c r="G71" s="85" t="inlineStr">
        <is>
          <t>Sí</t>
        </is>
      </c>
      <c r="H71" s="87">
        <f>IF(E71=1,1,0)</f>
        <v/>
      </c>
      <c r="I71" s="83" t="inlineStr">
        <is>
          <t>Aguas arriba: Lecciones aprendidas.pdf describe problemas significativos en definicion de requisitos iniciales, desviaciones de alcance/cronograma, retrasos y cambios no previstos. 
Aguas abajo/recomendacion: propone mejorar la gestion de requisitos y la definicion inicial del alcance mediante uso mas efectivo de herramientas agiles para priorizar tareas.</t>
        </is>
      </c>
      <c r="J71" s="83" t="inlineStr">
        <is>
          <t>Caso claro; cierre como extremo de cadena, se exige evidencia aguas arriba y se conserva tambien la recomendacion cuando aplica.</t>
        </is>
      </c>
    </row>
    <row r="72" ht="52.8" customHeight="1">
      <c r="A72" s="89" t="inlineStr">
        <is>
          <t>ART-B-CIE</t>
        </is>
      </c>
      <c r="B72" s="85" t="inlineStr">
        <is>
          <t>CIE-02</t>
        </is>
      </c>
      <c r="C72" s="83" t="inlineStr">
        <is>
          <t>Desviacion de pasarela de pago: Stripe planificado, PayPal aceptado</t>
        </is>
      </c>
      <c r="D72" s="85" t="inlineStr">
        <is>
          <t>Textual</t>
        </is>
      </c>
      <c r="E72" s="85" t="n">
        <v>1</v>
      </c>
      <c r="F72" s="85" t="n">
        <v>1</v>
      </c>
      <c r="G72" s="85" t="inlineStr">
        <is>
          <t>Sí</t>
        </is>
      </c>
      <c r="H72" s="87">
        <f>IF(E72=1,1,0)</f>
        <v/>
      </c>
      <c r="I72" s="83" t="inlineStr">
        <is>
          <t>Aguas arriba: Sprint 2 - Planning.pdf planifica Stripe; Sprint 2 - Review.pdf indica que pagos quedan pendientes; Sprint 3 - Planning.pdf decide usar PayPal. Informe de cierre.pdf registra entregable planificado Stripe y entregable aceptado PayPal por error de Stripe y mayor sencillez de PayPal.</t>
        </is>
      </c>
      <c r="J72" s="83" t="inlineStr">
        <is>
          <t>Caso claro; el ajuste final queda formalizado en informe de cierre.</t>
        </is>
      </c>
    </row>
    <row r="73">
      <c r="A73" s="91" t="n"/>
      <c r="B73" s="86" t="n"/>
      <c r="C73" s="84" t="n"/>
      <c r="D73" s="86" t="n"/>
      <c r="E73" s="86" t="n"/>
      <c r="F73" s="86" t="n"/>
      <c r="G73" s="86" t="n"/>
      <c r="H73" s="86" t="n"/>
      <c r="I73" s="84" t="n"/>
      <c r="J73" s="84" t="n"/>
    </row>
    <row r="74">
      <c r="A74" s="91" t="n"/>
      <c r="B74" s="86" t="n"/>
      <c r="C74" s="84" t="n"/>
      <c r="D74" s="86" t="n"/>
      <c r="E74" s="86" t="n"/>
      <c r="F74" s="86" t="n"/>
      <c r="G74" s="86" t="n"/>
      <c r="H74" s="86" t="n"/>
      <c r="I74" s="84" t="n"/>
      <c r="J74" s="84" t="n"/>
    </row>
    <row r="75">
      <c r="A75" s="91" t="n"/>
      <c r="B75" s="86" t="n"/>
      <c r="C75" s="84" t="n"/>
      <c r="D75" s="86" t="n"/>
      <c r="E75" s="86" t="n"/>
      <c r="F75" s="86" t="n"/>
      <c r="G75" s="86" t="n"/>
      <c r="H75" s="86" t="n"/>
      <c r="I75" s="84" t="n"/>
      <c r="J75" s="84" t="n"/>
    </row>
  </sheetData>
  <mergeCells count="2">
    <mergeCell ref="A1:J1"/>
    <mergeCell ref="A2:J2"/>
  </mergeCells>
  <dataValidations count="3">
    <dataValidation sqref="E5:F75" showDropDown="0" showInputMessage="0" showErrorMessage="0" allowBlank="1" type="list">
      <formula1>"0,1"</formula1>
      <formula2>0</formula2>
    </dataValidation>
    <dataValidation sqref="G5:G75" showDropDown="0" showInputMessage="0" showErrorMessage="0" allowBlank="1" type="list">
      <formula1>"Sí,No"</formula1>
      <formula2>0</formula2>
    </dataValidation>
    <dataValidation sqref="D5:D75" showDropDown="0" showInputMessage="0" showErrorMessage="0" allowBlank="1" type="list">
      <formula1>"ID,Textual,Mixto"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6"/>
  <sheetViews>
    <sheetView zoomScale="70" zoomScaleNormal="70" workbookViewId="0">
      <pane xSplit="5" ySplit="2" topLeftCell="P7" activePane="bottomRight" state="frozen"/>
      <selection pane="topRight" activeCell="F1" sqref="F1"/>
      <selection pane="bottomLeft" activeCell="A3" sqref="A3"/>
      <selection pane="bottomRight" activeCell="V7" sqref="V7"/>
    </sheetView>
  </sheetViews>
  <sheetFormatPr baseColWidth="10" defaultColWidth="8.6640625" defaultRowHeight="13.2"/>
  <cols>
    <col width="19.33203125" bestFit="1" customWidth="1" style="180" min="1" max="1"/>
    <col width="8.88671875" bestFit="1" customWidth="1" style="180" min="2" max="2"/>
    <col width="7.21875" bestFit="1" customWidth="1" style="180" min="3" max="3"/>
    <col width="14.109375" bestFit="1" customWidth="1" style="180" min="4" max="4"/>
    <col width="39.33203125" customWidth="1" style="180" min="5" max="5"/>
    <col width="12.44140625" bestFit="1" customWidth="1" style="180" min="6" max="6"/>
    <col width="71.88671875" bestFit="1" customWidth="1" style="181" min="7" max="7"/>
    <col width="10.77734375" bestFit="1" customWidth="1" style="180" min="8" max="8"/>
    <col width="20.77734375" bestFit="1" customWidth="1" style="180" min="9" max="9"/>
    <col width="66.6640625" bestFit="1" customWidth="1" style="181" min="10" max="10"/>
    <col width="14.88671875" bestFit="1" customWidth="1" style="180" min="11" max="11"/>
    <col width="19.77734375" bestFit="1" customWidth="1" style="180" min="12" max="12"/>
    <col width="13.109375" bestFit="1" customWidth="1" style="180" min="13" max="13"/>
    <col width="10.88671875" bestFit="1" customWidth="1" style="180" min="14" max="14"/>
    <col width="55" bestFit="1" customWidth="1" style="181" min="15" max="15"/>
    <col width="3.88671875" bestFit="1" customWidth="1" style="180" min="16" max="16"/>
    <col width="3.88671875" bestFit="1" customWidth="1" style="182" min="17" max="19"/>
    <col width="10.88671875" bestFit="1" customWidth="1" style="180" min="20" max="20"/>
    <col width="8.6640625" customWidth="1" style="98" min="21" max="26"/>
    <col width="8.6640625" customWidth="1" style="98" min="27" max="16384"/>
  </cols>
  <sheetData>
    <row r="1" ht="23.4" customHeight="1">
      <c r="A1" s="179" t="inlineStr">
        <is>
          <t>R1 — Síntesis complementaria por artefacto (M1 oficial + M3/M4/M5)</t>
        </is>
      </c>
    </row>
    <row r="2" ht="32.4" customFormat="1" customHeight="1" s="184">
      <c r="A2" s="183" t="inlineStr">
        <is>
          <t>INSTRUCCIONES: Esta hoja resume la evaluación por artefacto. M1 nivel oficial se toma de 03b_R1_M1_resumen; la justificación M1 se conserva como explicación cualitativa. M3, M4 y M5 se registran aquí con sus evidencias y cálculos.
Nota M1: la fuente oficial de completitud es 03_R1_M1_checklist + 03b_R1_M1_resumen. Esta hoja no recalcula M1; lo referencia para integrar todas las métricas por artefacto.</t>
        </is>
      </c>
    </row>
    <row r="4" ht="40.2" customFormat="1" customHeight="1" s="134">
      <c r="A4" s="151" t="inlineStr">
        <is>
          <t>ID artefacto</t>
        </is>
      </c>
      <c r="B4" s="151" t="inlineStr">
        <is>
          <t>Caso</t>
        </is>
      </c>
      <c r="C4" s="151" t="inlineStr">
        <is>
          <t>Run</t>
        </is>
      </c>
      <c r="D4" s="151" t="inlineStr">
        <is>
          <t>Familia</t>
        </is>
      </c>
      <c r="E4" s="151" t="inlineStr">
        <is>
          <t>Artefacto</t>
        </is>
      </c>
      <c r="F4" s="151" t="inlineStr">
        <is>
          <t>M1
(desde 03b)</t>
        </is>
      </c>
      <c r="G4" s="151" t="inlineStr">
        <is>
          <t>M1 justificación
(complementaria)</t>
        </is>
      </c>
      <c r="H4" s="151" t="inlineStr">
        <is>
          <t>M3
nivel (0-3)</t>
        </is>
      </c>
      <c r="I4" s="151" t="inlineStr">
        <is>
          <t>M3 
(#  contradicciones)</t>
        </is>
      </c>
      <c r="J4" s="151" t="inlineStr">
        <is>
          <t>M3 justificación</t>
        </is>
      </c>
      <c r="K4" s="151" t="inlineStr">
        <is>
          <t>M4
(N total ítems)</t>
        </is>
      </c>
      <c r="L4" s="151" t="inlineStr">
        <is>
          <t>M4
(N ítems trazables)</t>
        </is>
      </c>
      <c r="M4" s="151" t="inlineStr">
        <is>
          <t>M4 
% calculado</t>
        </is>
      </c>
      <c r="N4" s="151" t="inlineStr">
        <is>
          <t>M4 
tramo</t>
        </is>
      </c>
      <c r="O4" s="151" t="inlineStr">
        <is>
          <t>M4 justificación</t>
        </is>
      </c>
      <c r="P4" s="151" t="inlineStr">
        <is>
          <t>M5
G1</t>
        </is>
      </c>
      <c r="Q4" s="151" t="inlineStr">
        <is>
          <t>M5
G2</t>
        </is>
      </c>
      <c r="R4" s="151" t="inlineStr">
        <is>
          <t>M5
G3</t>
        </is>
      </c>
      <c r="S4" s="151" t="inlineStr">
        <is>
          <t>M5
G4</t>
        </is>
      </c>
      <c r="T4" s="151" t="inlineStr">
        <is>
          <t>M5
Nivel (0-4)</t>
        </is>
      </c>
    </row>
    <row r="5" ht="39.6" customFormat="1" customHeight="1" s="18">
      <c r="A5" s="139" t="inlineStr">
        <is>
          <t>ART-B-REQ</t>
        </is>
      </c>
      <c r="B5" s="139" t="inlineStr">
        <is>
          <t>Baseline</t>
        </is>
      </c>
      <c r="C5" s="139" t="inlineStr">
        <is>
          <t>—</t>
        </is>
      </c>
      <c r="D5" s="139" t="inlineStr">
        <is>
          <t>Requisitos</t>
        </is>
      </c>
      <c r="E5" s="152" t="inlineStr">
        <is>
          <t>Registro Requisitos + Matriz Trazabilidad</t>
        </is>
      </c>
      <c r="F5" s="106">
        <f>IFERROR(INDEX('03b_R1_M1_resumen'!$I:$I,MATCH(A5,'03b_R1_M1_resumen'!$A:$A,0)),"")</f>
        <v/>
      </c>
      <c r="G5" s="157" t="inlineStr">
        <is>
          <t>Registro y matriz contienen RF/RNF con ID, categoria, prioridad, criterio de aceptacion, interesado y trazabilidad basica; cobertura sustancial/completa de requisitos de alquiler, catalogo, reserva, pagos y administracion.</t>
        </is>
      </c>
      <c r="H5" s="158" t="n">
        <v>1</v>
      </c>
      <c r="I5" s="158" t="n">
        <v>3</v>
      </c>
      <c r="J5" s="157" t="inlineStr">
        <is>
          <t>Hay inconsistencias de identificacion entre Registro y Matriz: RF13/RF15/RF19 no aparecen igual en ambos documentos y el Registro salta numeracion tras RF16. No se detecta contradiccion funcional mayor.</t>
        </is>
      </c>
      <c r="K5" s="158" t="n">
        <v>28</v>
      </c>
      <c r="L5" s="158" t="n">
        <v>27</v>
      </c>
      <c r="M5" s="107">
        <f>IF(AND(K5&gt;0,L5&lt;&gt;""),L5/K5*100,"")</f>
        <v/>
      </c>
      <c r="N5" s="106">
        <f>IF(M5="","",IF(M5&lt;25,"0-25 ausente/residual",IF(M5&lt;50,"25-50 parcial",IF(M5&lt;75,"50-75 sustancial","75-100 alta"))))</f>
        <v/>
      </c>
      <c r="O5" s="157" t="inlineStr">
        <is>
          <t>Matriz incluye fuente/interesado, objetivo, entregable y criterio para la mayoria de requisitos; RF19 queda sin correspondencia clara en Registro/backlogs.</t>
        </is>
      </c>
      <c r="P5" s="158" t="n">
        <v>1</v>
      </c>
      <c r="Q5" s="158" t="n">
        <v>1</v>
      </c>
      <c r="R5" s="158" t="n">
        <v>1</v>
      </c>
      <c r="S5" s="158" t="n">
        <v>0</v>
      </c>
      <c r="T5" s="106">
        <f>SUM(P5:S5)</f>
        <v/>
      </c>
    </row>
    <row r="6" ht="39.6" customFormat="1" customHeight="1" s="18">
      <c r="A6" s="139" t="inlineStr">
        <is>
          <t>ART-B-PLAN</t>
        </is>
      </c>
      <c r="B6" s="139" t="inlineStr">
        <is>
          <t>Baseline</t>
        </is>
      </c>
      <c r="C6" s="139" t="inlineStr">
        <is>
          <t>—</t>
        </is>
      </c>
      <c r="D6" s="139" t="inlineStr">
        <is>
          <t>Planificación</t>
        </is>
      </c>
      <c r="E6" s="152" t="inlineStr">
        <is>
          <t>Sprint Plannings + Product Backlogs S1-S2-S3</t>
        </is>
      </c>
      <c r="F6" s="106">
        <f>IFERROR(INDEX('03b_R1_M1_resumen'!$I:$I,MATCH(A6,'03b_R1_M1_resumen'!$A:$A,0)),"")</f>
        <v/>
      </c>
      <c r="G6" s="157" t="inlineStr">
        <is>
          <t>Sprint Plannings y Product Backlogs existen para los tres sprints, con issues/requisitos, estado y responsables. Falta granularidad de HU, criterios de aceptacion por historia y dependencias explicitas.</t>
        </is>
      </c>
      <c r="H6" s="158" t="n">
        <v>2</v>
      </c>
      <c r="I6" s="158" t="n">
        <v>2</v>
      </c>
      <c r="J6" s="157" t="inlineStr">
        <is>
          <t>Fallos menores: algunos documentos mantienen tipo documental incorrecto y hay cambios de pasarela/despliegue entre sprints, aunque quedan parcialmente justificados en planning/cierre.</t>
        </is>
      </c>
      <c r="K6" s="158" t="n">
        <v>30</v>
      </c>
      <c r="L6" s="158" t="n">
        <v>27</v>
      </c>
      <c r="M6" s="107">
        <f>IF(AND(K6&gt;0,L6&lt;&gt;""),L6/K6*100,"")</f>
        <v/>
      </c>
      <c r="N6" s="106">
        <f>IF(M6="","",IF(M6&lt;25,"0-25 ausente/residual",IF(M6&lt;50,"25-50 parcial",IF(M6&lt;75,"50-75 sustancial","75-100 alta"))))</f>
        <v/>
      </c>
      <c r="O6" s="157" t="inlineStr">
        <is>
          <t>Los Product Backlogs contienen 30 items trazados por ID a requisitos/sprints; algunos IDs no tienen correspondencia uniforme en Registro/Matriz.</t>
        </is>
      </c>
      <c r="P6" s="158" t="n">
        <v>1</v>
      </c>
      <c r="Q6" s="158" t="n">
        <v>1</v>
      </c>
      <c r="R6" s="158" t="n">
        <v>1</v>
      </c>
      <c r="S6" s="158" t="n">
        <v>0</v>
      </c>
      <c r="T6" s="106">
        <f>SUM(P6:S6)</f>
        <v/>
      </c>
    </row>
    <row r="7" ht="39.6" customFormat="1" customHeight="1" s="18">
      <c r="A7" s="139" t="inlineStr">
        <is>
          <t>ART-B-DIS</t>
        </is>
      </c>
      <c r="B7" s="139" t="inlineStr">
        <is>
          <t>Baseline</t>
        </is>
      </c>
      <c r="C7" s="139" t="inlineStr">
        <is>
          <t>—</t>
        </is>
      </c>
      <c r="D7" s="139" t="inlineStr">
        <is>
          <t>Diseño técnico</t>
        </is>
      </c>
      <c r="E7" s="152" t="inlineStr">
        <is>
          <t>Auditoría posthoc 02_ARQUITECTURA + 03_MODELO_DATOS</t>
        </is>
      </c>
      <c r="F7" s="106">
        <f>IFERROR(INDEX('03b_R1_M1_resumen'!$I:$I,MATCH(A7,'03b_R1_M1_resumen'!$A:$A,0)),"")</f>
        <v/>
      </c>
      <c r="G7" s="157" t="inlineStr">
        <is>
          <t>Los documentos posthoc 02_ARQUITECTURA y 03_MODELO_DE_DATOS describen stack, estructura, componentes y modelo de datos con suficiente cobertura tecnica del producto.</t>
        </is>
      </c>
      <c r="H7" s="158" t="n">
        <v>3</v>
      </c>
      <c r="I7" s="158" t="n">
        <v>0</v>
      </c>
      <c r="J7" s="157" t="inlineStr">
        <is>
          <t>No se observan contradicciones internas relevantes entre arquitectura y modelo de datos en la documentacion disponible.</t>
        </is>
      </c>
      <c r="K7" s="158" t="n">
        <v>2</v>
      </c>
      <c r="L7" s="158" t="n">
        <v>2</v>
      </c>
      <c r="M7" s="107">
        <f>IF(AND(K7&gt;0,L7&lt;&gt;""),L7/K7*100,"")</f>
        <v/>
      </c>
      <c r="N7" s="106">
        <f>IF(M7="","",IF(M7&lt;25,"0-25 ausente/residual",IF(M7&lt;50,"25-50 parcial",IF(M7&lt;75,"50-75 sustancial","75-100 alta"))))</f>
        <v/>
      </c>
      <c r="O7" s="157" t="inlineStr">
        <is>
          <t>Trazabilidad inferida por los dos documentos tecnicos: arquitectura y modelo de datos cubren componentes principales del sistema entregado.</t>
        </is>
      </c>
      <c r="P7" s="158" t="n">
        <v>0</v>
      </c>
      <c r="Q7" s="158" t="n">
        <v>0</v>
      </c>
      <c r="R7" s="158" t="n">
        <v>0</v>
      </c>
      <c r="S7" s="158" t="n">
        <v>0</v>
      </c>
      <c r="T7" s="106">
        <f>SUM(P7:S7)</f>
        <v/>
      </c>
    </row>
    <row r="8" ht="26.4" customFormat="1" customHeight="1" s="18">
      <c r="A8" s="139" t="inlineStr">
        <is>
          <t>ART-B-SEG-S1</t>
        </is>
      </c>
      <c r="B8" s="139" t="inlineStr">
        <is>
          <t>Baseline</t>
        </is>
      </c>
      <c r="C8" s="139" t="inlineStr">
        <is>
          <t>—</t>
        </is>
      </c>
      <c r="D8" s="139" t="inlineStr">
        <is>
          <t>Seguimiento</t>
        </is>
      </c>
      <c r="E8" s="152" t="inlineStr">
        <is>
          <t>Sprint Review 1 + Retrospective 1</t>
        </is>
      </c>
      <c r="F8" s="106">
        <f>IFERROR(INDEX('03b_R1_M1_resumen'!$I:$I,MATCH(A8,'03b_R1_M1_resumen'!$A:$A,0)),"")</f>
        <v/>
      </c>
      <c r="G8" s="157" t="inlineStr">
        <is>
          <t>Review y Retrospective del Sprint 1 existen, con acta, revision de tareas y acciones de mejora; el detalle de evidencias, metricas y aceptacion es limitado.</t>
        </is>
      </c>
      <c r="H8" s="158" t="n">
        <v>2</v>
      </c>
      <c r="I8" s="158" t="n">
        <v>1</v>
      </c>
      <c r="J8" s="157" t="inlineStr">
        <is>
          <t>Fallo menor documental: algunos encabezados identifican la review/retrospective como Sprint Planning. No afecta al contenido central.</t>
        </is>
      </c>
      <c r="K8" s="158" t="n">
        <v>2</v>
      </c>
      <c r="L8" s="158" t="n">
        <v>2</v>
      </c>
      <c r="M8" s="107">
        <f>IF(AND(K8&gt;0,L8&lt;&gt;""),L8/K8*100,"")</f>
        <v/>
      </c>
      <c r="N8" s="106">
        <f>IF(M8="","",IF(M8&lt;25,"0-25 ausente/residual",IF(M8&lt;50,"25-50 parcial",IF(M8&lt;75,"50-75 sustancial","75-100 alta"))))</f>
        <v/>
      </c>
      <c r="O8" s="157" t="inlineStr">
        <is>
          <t>Review y retrospectiva enlazan con el cierre del Sprint 1 y con las tareas planificadas, aunque sin trazabilidad itemizada.</t>
        </is>
      </c>
      <c r="P8" s="158" t="n">
        <v>1</v>
      </c>
      <c r="Q8" s="158" t="n">
        <v>0</v>
      </c>
      <c r="R8" s="158" t="n">
        <v>0</v>
      </c>
      <c r="S8" s="158" t="n">
        <v>1</v>
      </c>
      <c r="T8" s="106">
        <f>SUM(P8:S8)</f>
        <v/>
      </c>
    </row>
    <row r="9" ht="39.6" customFormat="1" customHeight="1" s="18">
      <c r="A9" s="139" t="inlineStr">
        <is>
          <t>ART-B-SEG-S2</t>
        </is>
      </c>
      <c r="B9" s="139" t="inlineStr">
        <is>
          <t>Baseline</t>
        </is>
      </c>
      <c r="C9" s="139" t="inlineStr">
        <is>
          <t>—</t>
        </is>
      </c>
      <c r="D9" s="139" t="inlineStr">
        <is>
          <t>Seguimiento</t>
        </is>
      </c>
      <c r="E9" s="152" t="inlineStr">
        <is>
          <t>Sprint Review 2 + Retrospective 2</t>
        </is>
      </c>
      <c r="F9" s="106">
        <f>IFERROR(INDEX('03b_R1_M1_resumen'!$I:$I,MATCH(A9,'03b_R1_M1_resumen'!$A:$A,0)),"")</f>
        <v/>
      </c>
      <c r="G9" s="157" t="inlineStr">
        <is>
          <t>Review y Retrospective del Sprint 2 existen e incluyen tareas no completadas, desviacion de horas y conflicto entre ramas; falta detalle itemizado de aceptacion.</t>
        </is>
      </c>
      <c r="H9" s="158" t="n">
        <v>2</v>
      </c>
      <c r="I9" s="158" t="n">
        <v>1</v>
      </c>
      <c r="J9" s="157" t="inlineStr">
        <is>
          <t>Fallo menor de consistencia documental por encabezado/tipo de documento; el contenido de seguimiento es coherente.</t>
        </is>
      </c>
      <c r="K9" s="158" t="n">
        <v>2</v>
      </c>
      <c r="L9" s="158" t="n">
        <v>2</v>
      </c>
      <c r="M9" s="107">
        <f>IF(AND(K9&gt;0,L9&lt;&gt;""),L9/K9*100,"")</f>
        <v/>
      </c>
      <c r="N9" s="106">
        <f>IF(M9="","",IF(M9&lt;25,"0-25 ausente/residual",IF(M9&lt;50,"25-50 parcial",IF(M9&lt;75,"50-75 sustancial","75-100 alta"))))</f>
        <v/>
      </c>
      <c r="O9" s="157" t="inlineStr">
        <is>
          <t>La review identifica tareas completadas/no completadas y la retrospectiva registra incidencia; trazabilidad suficiente a nivel de sprint.</t>
        </is>
      </c>
      <c r="P9" s="158" t="n">
        <v>1</v>
      </c>
      <c r="Q9" s="158" t="n">
        <v>1</v>
      </c>
      <c r="R9" s="158" t="n">
        <v>1</v>
      </c>
      <c r="S9" s="158" t="n">
        <v>1</v>
      </c>
      <c r="T9" s="106">
        <f>SUM(P9:S9)</f>
        <v/>
      </c>
    </row>
    <row r="10" ht="26.4" customFormat="1" customHeight="1" s="18">
      <c r="A10" s="139" t="inlineStr">
        <is>
          <t>ART-B-SEG-S3</t>
        </is>
      </c>
      <c r="B10" s="139" t="inlineStr">
        <is>
          <t>Baseline</t>
        </is>
      </c>
      <c r="C10" s="139" t="inlineStr">
        <is>
          <t>—</t>
        </is>
      </c>
      <c r="D10" s="139" t="inlineStr">
        <is>
          <t>Seguimiento</t>
        </is>
      </c>
      <c r="E10" s="152" t="inlineStr">
        <is>
          <t>Sprint Review 3 + Retrospective 3</t>
        </is>
      </c>
      <c r="F10" s="106">
        <f>IFERROR(INDEX('03b_R1_M1_resumen'!$I:$I,MATCH(A10,'03b_R1_M1_resumen'!$A:$A,0)),"")</f>
        <v/>
      </c>
      <c r="G10" s="157" t="inlineStr">
        <is>
          <t>Review y Retrospective del Sprint 3 existen y documentan cierre de tareas, desviaciones y aprendizajes; la evidencia sigue siendo resumida.</t>
        </is>
      </c>
      <c r="H10" s="158" t="n">
        <v>1</v>
      </c>
      <c r="I10" s="158" t="n">
        <v>2</v>
      </c>
      <c r="J10" s="157" t="inlineStr">
        <is>
          <t>Contradiccion factual menor de fechas en la retrospectiva del Sprint 3 frente a planning/review, y persistencia de encabezados no alineados.</t>
        </is>
      </c>
      <c r="K10" s="158" t="n">
        <v>2</v>
      </c>
      <c r="L10" s="158" t="n">
        <v>2</v>
      </c>
      <c r="M10" s="107">
        <f>IF(AND(K10&gt;0,L10&lt;&gt;""),L10/K10*100,"")</f>
        <v/>
      </c>
      <c r="N10" s="106">
        <f>IF(M10="","",IF(M10&lt;25,"0-25 ausente/residual",IF(M10&lt;50,"25-50 parcial",IF(M10&lt;75,"50-75 sustancial","75-100 alta"))))</f>
        <v/>
      </c>
      <c r="O10" s="157" t="inlineStr">
        <is>
          <t>La documentacion enlaza el Sprint 3 con tareas continuadas de pagos/seguimiento y cierre, sin matriz itemizada.</t>
        </is>
      </c>
      <c r="P10" s="158" t="n">
        <v>1</v>
      </c>
      <c r="Q10" s="158" t="n">
        <v>0</v>
      </c>
      <c r="R10" s="158" t="n">
        <v>1</v>
      </c>
      <c r="S10" s="158" t="n">
        <v>1</v>
      </c>
      <c r="T10" s="106">
        <f>SUM(P10:S10)</f>
        <v/>
      </c>
    </row>
    <row r="11" ht="40.2" customFormat="1" customHeight="1" s="18" thickBot="1">
      <c r="A11" s="140" t="inlineStr">
        <is>
          <t>ART-B-CIE</t>
        </is>
      </c>
      <c r="B11" s="140" t="inlineStr">
        <is>
          <t>Baseline</t>
        </is>
      </c>
      <c r="C11" s="140" t="inlineStr">
        <is>
          <t>—</t>
        </is>
      </c>
      <c r="D11" s="140" t="inlineStr">
        <is>
          <t>Cierre</t>
        </is>
      </c>
      <c r="E11" s="153" t="inlineStr">
        <is>
          <t>Lecciones Aprendidas + Informe de cierre</t>
        </is>
      </c>
      <c r="F11" s="135">
        <f>IFERROR(INDEX('03b_R1_M1_resumen'!$I:$I,MATCH(A11,'03b_R1_M1_resumen'!$A:$A,0)),"")</f>
        <v/>
      </c>
      <c r="G11" s="159" t="inlineStr">
        <is>
          <t>Lecciones aprendidas e Informe de cierre existen y cubren desviaciones, costes, cronograma y recomendaciones, pero no incluyen aprobacion formal detallada ni trazabilidad exhaustiva.</t>
        </is>
      </c>
      <c r="H11" s="160" t="n">
        <v>3</v>
      </c>
      <c r="I11" s="160" t="n">
        <v>0</v>
      </c>
      <c r="J11" s="159" t="inlineStr">
        <is>
          <t>Los documentos de cierre son internamente coherentes: las desviaciones de pago, cronograma y costes se explican de forma consistente.</t>
        </is>
      </c>
      <c r="K11" s="160" t="n">
        <v>2</v>
      </c>
      <c r="L11" s="160" t="n">
        <v>2</v>
      </c>
      <c r="M11" s="136">
        <f>IF(AND(K11&gt;0,L11&lt;&gt;""),L11/K11*100,"")</f>
        <v/>
      </c>
      <c r="N11" s="135">
        <f>IF(M11="","",IF(M11&lt;25,"0-25 ausente/residual",IF(M11&lt;50,"25-50 parcial",IF(M11&lt;75,"50-75 sustancial","75-100 alta"))))</f>
        <v/>
      </c>
      <c r="O11" s="159" t="inlineStr">
        <is>
          <t>Informe de cierre y lecciones aprendidas enlazan con desviaciones, incidencias y recomendaciones finales del proyecto.</t>
        </is>
      </c>
      <c r="P11" s="160" t="n">
        <v>0</v>
      </c>
      <c r="Q11" s="160" t="n">
        <v>1</v>
      </c>
      <c r="R11" s="160" t="n">
        <v>1</v>
      </c>
      <c r="S11" s="160" t="n">
        <v>1</v>
      </c>
      <c r="T11" s="135">
        <f>SUM(P11:S11)</f>
        <v/>
      </c>
    </row>
    <row r="12" ht="39.6" customFormat="1" customHeight="1" s="18">
      <c r="A12" s="146" t="inlineStr">
        <is>
          <t>ART-run_01-REQ</t>
        </is>
      </c>
      <c r="B12" s="146" t="inlineStr">
        <is>
          <t>Pipeline</t>
        </is>
      </c>
      <c r="C12" s="146" t="inlineStr">
        <is>
          <t>run_01</t>
        </is>
      </c>
      <c r="D12" s="146" t="inlineStr">
        <is>
          <t>Requisitos</t>
        </is>
      </c>
      <c r="E12" s="154" t="inlineStr">
        <is>
          <t>registro_requisitos.json + .md</t>
        </is>
      </c>
      <c r="F12" s="137">
        <f>IFERROR(INDEX('03b_R1_M1_resumen'!$I:$I,MATCH(A12,'03b_R1_M1_resumen'!$A:$A,0)),"")</f>
        <v/>
      </c>
      <c r="G12" s="161" t="inlineStr">
        <is>
          <t>registro_requisitos contiene 36 RF y 9 RNF con ID, descripcion y prioridad; cubre el alcance principal, aunque la prioridad es poco discriminante y algunos RNF estan agrupados.</t>
        </is>
      </c>
      <c r="H12" s="162" t="n">
        <v>2</v>
      </c>
      <c r="I12" s="162" t="n">
        <v>2</v>
      </c>
      <c r="J12" s="161" t="inlineStr">
        <is>
          <t>Gate 1 solo marca observaciones no bloqueantes: priorizacion poco informativa y granularidad limitada en seguridad/importe.</t>
        </is>
      </c>
      <c r="K12" s="162" t="n">
        <v>45</v>
      </c>
      <c r="L12" s="162" t="n">
        <v>45</v>
      </c>
      <c r="M12" s="138">
        <f>IF(AND(K12&gt;0,L12&lt;&gt;""),L12/K12*100,"")</f>
        <v/>
      </c>
      <c r="N12" s="137">
        <f>IF(M12="","",IF(M12&lt;25,"0-25 ausente/residual",IF(M12&lt;50,"25-50 parcial",IF(M12&lt;75,"50-75 sustancial","75-100 alta"))))</f>
        <v/>
      </c>
      <c r="O12" s="161" t="inlineStr">
        <is>
          <t>Todos los RF/RNF tienen correspondencia textual con el backlog generado y el gate acepta cobertura suficiente del brief.</t>
        </is>
      </c>
      <c r="P12" s="162" t="n">
        <v>1</v>
      </c>
      <c r="Q12" s="162" t="n">
        <v>0</v>
      </c>
      <c r="R12" s="162" t="n">
        <v>0</v>
      </c>
      <c r="S12" s="162" t="n">
        <v>1</v>
      </c>
      <c r="T12" s="137">
        <f>SUM(P12:S12)</f>
        <v/>
      </c>
    </row>
    <row r="13" ht="26.4" customFormat="1" customHeight="1" s="18">
      <c r="A13" s="147" t="inlineStr">
        <is>
          <t>ART-run_01-PLAN</t>
        </is>
      </c>
      <c r="B13" s="147" t="inlineStr">
        <is>
          <t>Pipeline</t>
        </is>
      </c>
      <c r="C13" s="147" t="inlineStr">
        <is>
          <t>run_01</t>
        </is>
      </c>
      <c r="D13" s="147" t="inlineStr">
        <is>
          <t>Planificación</t>
        </is>
      </c>
      <c r="E13" s="155" t="inlineStr">
        <is>
          <t>backlog + plan_sprints + riesgos</t>
        </is>
      </c>
      <c r="F13" s="106">
        <f>IFERROR(INDEX('03b_R1_M1_resumen'!$I:$I,MATCH(A13,'03b_R1_M1_resumen'!$A:$A,0)),"")</f>
        <v/>
      </c>
      <c r="G13" s="157" t="inlineStr">
        <is>
          <t>backlog, plan_sprints y riesgos estan presentes; hay 21 HU, tres sprints y 10 riesgos. Falta enlace explicito requisito-HU en algunas historias.</t>
        </is>
      </c>
      <c r="H13" s="158" t="n">
        <v>2</v>
      </c>
      <c r="I13" s="158" t="n">
        <v>2</v>
      </c>
      <c r="J13" s="157" t="inlineStr">
        <is>
          <t>Gate 2 senala observaciones no bloqueantes sobre concentracion de complejidad, seed en Dockerfile y posible exceso con cron/Celery.</t>
        </is>
      </c>
      <c r="K13" s="158" t="n">
        <v>21</v>
      </c>
      <c r="L13" s="158" t="n">
        <v>21</v>
      </c>
      <c r="M13" s="107">
        <f>IF(AND(K13&gt;0,L13&lt;&gt;""),L13/K13*100,"")</f>
        <v/>
      </c>
      <c r="N13" s="106">
        <f>IF(M13="","",IF(M13&lt;25,"0-25 ausente/residual",IF(M13&lt;50,"25-50 parcial",IF(M13&lt;75,"50-75 sustancial","75-100 alta"))))</f>
        <v/>
      </c>
      <c r="O13" s="157" t="inlineStr">
        <is>
          <t>Las 21 HU aparecen planificadas en sprints y son trazables por contenido al registro de requisitos.</t>
        </is>
      </c>
      <c r="P13" s="158" t="n">
        <v>1</v>
      </c>
      <c r="Q13" s="158" t="n">
        <v>0</v>
      </c>
      <c r="R13" s="158" t="n">
        <v>0</v>
      </c>
      <c r="S13" s="158" t="n">
        <v>1</v>
      </c>
      <c r="T13" s="106">
        <f>SUM(P13:S13)</f>
        <v/>
      </c>
    </row>
    <row r="14" ht="52.8" customFormat="1" customHeight="1" s="18">
      <c r="A14" s="147" t="inlineStr">
        <is>
          <t>ART-run_01-DIS</t>
        </is>
      </c>
      <c r="B14" s="147" t="inlineStr">
        <is>
          <t>Pipeline</t>
        </is>
      </c>
      <c r="C14" s="147" t="inlineStr">
        <is>
          <t>run_01</t>
        </is>
      </c>
      <c r="D14" s="147" t="inlineStr">
        <is>
          <t>Diseño técnico</t>
        </is>
      </c>
      <c r="E14" s="155" t="inlineStr">
        <is>
          <t>diseno_tecnico.json + .md</t>
        </is>
      </c>
      <c r="F14" s="106">
        <f>IFERROR(INDEX('03b_R1_M1_resumen'!$I:$I,MATCH(A14,'03b_R1_M1_resumen'!$A:$A,0)),"")</f>
        <v/>
      </c>
      <c r="G14" s="157" t="inlineStr">
        <is>
          <t>diseno_tecnico contiene stack, 6 apps Django, 8 modelos y 29 rutas; cubre el stack, la estructura de apps, el modelo de datos y las rutas necesarias para generar el producto. Gate 3 lo acepta con observaciones no bloqueantes.</t>
        </is>
      </c>
      <c r="H14" s="158" t="n">
        <v>2</v>
      </c>
      <c r="I14" s="158" t="n">
        <v>3</v>
      </c>
      <c r="J14" s="157" t="inlineStr">
        <is>
          <t>Gate 3 marca observaciones menores: ImageField declarado como cadena, posible confusi?n core/settings frente al paquete del proyecto, disponibilidad por fechas no derivada solo de Barco.disponible y logout GET preferible como POST.</t>
        </is>
      </c>
      <c r="K14" s="158" t="n">
        <v>37</v>
      </c>
      <c r="L14" s="158" t="n">
        <v>36</v>
      </c>
      <c r="M14" s="107">
        <f>IF(AND(K14&gt;0,L14&lt;&gt;""),L14/K14*100,"")</f>
        <v/>
      </c>
      <c r="N14" s="106">
        <f>IF(M14="","",IF(M14&lt;25,"0-25 ausente/residual",IF(M14&lt;50,"25-50 parcial",IF(M14&lt;75,"50-75 sustancial","75-100 alta"))))</f>
        <v/>
      </c>
      <c r="O14" s="157" t="inlineStr">
        <is>
          <t>36 de 37 elementos de apps/modelos/rutas enlazan textualmente con requisitos o backlog; queda al menos un detalle t?cnico menos trazado/documentado de forma expl?cita.</t>
        </is>
      </c>
      <c r="P14" s="158" t="n">
        <v>1</v>
      </c>
      <c r="Q14" s="158" t="n">
        <v>0</v>
      </c>
      <c r="R14" s="158" t="n">
        <v>0</v>
      </c>
      <c r="S14" s="158" t="n">
        <v>1</v>
      </c>
      <c r="T14" s="106">
        <f>SUM(P14:S14)</f>
        <v/>
      </c>
    </row>
    <row r="15" ht="26.4" customFormat="1" customHeight="1" s="18">
      <c r="A15" s="147" t="inlineStr">
        <is>
          <t>ART-run_01-SEG-S1</t>
        </is>
      </c>
      <c r="B15" s="147" t="inlineStr">
        <is>
          <t>Pipeline</t>
        </is>
      </c>
      <c r="C15" s="147" t="inlineStr">
        <is>
          <t>run_01</t>
        </is>
      </c>
      <c r="D15" s="147" t="inlineStr">
        <is>
          <t>Seguimiento</t>
        </is>
      </c>
      <c r="E15" s="155" t="inlineStr">
        <is>
          <t>review_sprint_1.json + .md</t>
        </is>
      </c>
      <c r="F15" s="106">
        <f>IFERROR(INDEX('03b_R1_M1_resumen'!$I:$I,MATCH(A15,'03b_R1_M1_resumen'!$A:$A,0)),"")</f>
        <v/>
      </c>
      <c r="G15" s="157" t="inlineStr">
        <is>
          <t>review_sprint_1 incluye backlog pedido, archivos entregados, cumplimiento, arranque, rutas, templates e incidencias.</t>
        </is>
      </c>
      <c r="H15" s="158" t="n">
        <v>3</v>
      </c>
      <c r="I15" s="158" t="n">
        <v>0</v>
      </c>
      <c r="J15" s="157" t="inlineStr">
        <is>
          <t>No se detectan contradicciones internas; las incidencias estan registradas como seguimiento, no como incoherencias del artefacto.</t>
        </is>
      </c>
      <c r="K15" s="158" t="n">
        <v>8</v>
      </c>
      <c r="L15" s="158" t="n">
        <v>8</v>
      </c>
      <c r="M15" s="107">
        <f>IF(AND(K15&gt;0,L15&lt;&gt;""),L15/K15*100,"")</f>
        <v/>
      </c>
      <c r="N15" s="106">
        <f>IF(M15="","",IF(M15&lt;25,"0-25 ausente/residual",IF(M15&lt;50,"25-50 parcial",IF(M15&lt;75,"50-75 sustancial","75-100 alta"))))</f>
        <v/>
      </c>
      <c r="O15" s="157" t="inlineStr">
        <is>
          <t>Los 8 items pedidos del sprint aparecen en la review con evidencias de cumplimiento/entrega.</t>
        </is>
      </c>
      <c r="P15" s="158" t="n">
        <v>1</v>
      </c>
      <c r="Q15" s="158" t="n">
        <v>0</v>
      </c>
      <c r="R15" s="158" t="n">
        <v>1</v>
      </c>
      <c r="S15" s="158" t="n">
        <v>1</v>
      </c>
      <c r="T15" s="106">
        <f>SUM(P15:S15)</f>
        <v/>
      </c>
    </row>
    <row r="16" ht="26.4" customFormat="1" customHeight="1" s="18">
      <c r="A16" s="147" t="inlineStr">
        <is>
          <t>ART-run_01-SEG-S2</t>
        </is>
      </c>
      <c r="B16" s="147" t="inlineStr">
        <is>
          <t>Pipeline</t>
        </is>
      </c>
      <c r="C16" s="147" t="inlineStr">
        <is>
          <t>run_01</t>
        </is>
      </c>
      <c r="D16" s="147" t="inlineStr">
        <is>
          <t>Seguimiento</t>
        </is>
      </c>
      <c r="E16" s="155" t="inlineStr">
        <is>
          <t>review_sprint_2.json + .md</t>
        </is>
      </c>
      <c r="F16" s="106">
        <f>IFERROR(INDEX('03b_R1_M1_resumen'!$I:$I,MATCH(A16,'03b_R1_M1_resumen'!$A:$A,0)),"")</f>
        <v/>
      </c>
      <c r="G16" s="157" t="inlineStr">
        <is>
          <t>review_sprint_2 documenta 6 items pedidos, entregables, cumplimiento, arranque, rutas y templates; no registra incidencias.</t>
        </is>
      </c>
      <c r="H16" s="158" t="n">
        <v>3</v>
      </c>
      <c r="I16" s="158" t="n">
        <v>0</v>
      </c>
      <c r="J16" s="157" t="inlineStr">
        <is>
          <t>Artefacto coherente, sin contradicciones internas detectadas.</t>
        </is>
      </c>
      <c r="K16" s="158" t="n">
        <v>6</v>
      </c>
      <c r="L16" s="158" t="n">
        <v>6</v>
      </c>
      <c r="M16" s="107">
        <f>IF(AND(K16&gt;0,L16&lt;&gt;""),L16/K16*100,"")</f>
        <v/>
      </c>
      <c r="N16" s="106">
        <f>IF(M16="","",IF(M16&lt;25,"0-25 ausente/residual",IF(M16&lt;50,"25-50 parcial",IF(M16&lt;75,"50-75 sustancial","75-100 alta"))))</f>
        <v/>
      </c>
      <c r="O16" s="157" t="inlineStr">
        <is>
          <t>Los 6 items pedidos quedan enlazados con entregables y checks de la review.</t>
        </is>
      </c>
      <c r="P16" s="158" t="n">
        <v>1</v>
      </c>
      <c r="Q16" s="158" t="n">
        <v>0</v>
      </c>
      <c r="R16" s="158" t="n">
        <v>0</v>
      </c>
      <c r="S16" s="158" t="n">
        <v>1</v>
      </c>
      <c r="T16" s="106">
        <f>SUM(P16:S16)</f>
        <v/>
      </c>
    </row>
    <row r="17" ht="26.4" customFormat="1" customHeight="1" s="18">
      <c r="A17" s="147" t="inlineStr">
        <is>
          <t>ART-run_01-SEG-S3</t>
        </is>
      </c>
      <c r="B17" s="147" t="inlineStr">
        <is>
          <t>Pipeline</t>
        </is>
      </c>
      <c r="C17" s="147" t="inlineStr">
        <is>
          <t>run_01</t>
        </is>
      </c>
      <c r="D17" s="147" t="inlineStr">
        <is>
          <t>Seguimiento</t>
        </is>
      </c>
      <c r="E17" s="155" t="inlineStr">
        <is>
          <t>review_sprint_3.json + .md</t>
        </is>
      </c>
      <c r="F17" s="106">
        <f>IFERROR(INDEX('03b_R1_M1_resumen'!$I:$I,MATCH(A17,'03b_R1_M1_resumen'!$A:$A,0)),"")</f>
        <v/>
      </c>
      <c r="G17" s="157" t="inlineStr">
        <is>
          <t>review_sprint_3 documenta 7 items pedidos, entregables, cumplimiento, arranque, rutas y templates; no registra incidencias.</t>
        </is>
      </c>
      <c r="H17" s="158" t="n">
        <v>3</v>
      </c>
      <c r="I17" s="158" t="n">
        <v>0</v>
      </c>
      <c r="J17" s="157" t="inlineStr">
        <is>
          <t>Artefacto coherente, sin contradicciones internas detectadas.</t>
        </is>
      </c>
      <c r="K17" s="158" t="n">
        <v>7</v>
      </c>
      <c r="L17" s="158" t="n">
        <v>7</v>
      </c>
      <c r="M17" s="107">
        <f>IF(AND(K17&gt;0,L17&lt;&gt;""),L17/K17*100,"")</f>
        <v/>
      </c>
      <c r="N17" s="106">
        <f>IF(M17="","",IF(M17&lt;25,"0-25 ausente/residual",IF(M17&lt;50,"25-50 parcial",IF(M17&lt;75,"50-75 sustancial","75-100 alta"))))</f>
        <v/>
      </c>
      <c r="O17" s="157" t="inlineStr">
        <is>
          <t>Los 7 items pedidos quedan enlazados con entregables y checks de la review.</t>
        </is>
      </c>
      <c r="P17" s="158" t="n">
        <v>1</v>
      </c>
      <c r="Q17" s="158" t="n">
        <v>0</v>
      </c>
      <c r="R17" s="158" t="n">
        <v>0</v>
      </c>
      <c r="S17" s="158" t="n">
        <v>1</v>
      </c>
      <c r="T17" s="106">
        <f>SUM(P17:S17)</f>
        <v/>
      </c>
    </row>
    <row r="18" ht="27" customFormat="1" customHeight="1" s="18" thickBot="1">
      <c r="A18" s="148" t="inlineStr">
        <is>
          <t>ART-run_01-CIE</t>
        </is>
      </c>
      <c r="B18" s="148" t="inlineStr">
        <is>
          <t>Pipeline</t>
        </is>
      </c>
      <c r="C18" s="148" t="inlineStr">
        <is>
          <t>run_01</t>
        </is>
      </c>
      <c r="D18" s="148" t="inlineStr">
        <is>
          <t>Cierre</t>
        </is>
      </c>
      <c r="E18" s="156" t="inlineStr">
        <is>
          <t>lecciones_aprendidas.md + review_final.md + readme.md</t>
        </is>
      </c>
      <c r="F18" s="135">
        <f>IFERROR(INDEX('03b_R1_M1_resumen'!$I:$I,MATCH(A18,'03b_R1_M1_resumen'!$A:$A,0)),"")</f>
        <v/>
      </c>
      <c r="G18" s="159" t="inlineStr">
        <is>
          <t>Cierre compuesto por lecciones_aprendidas, review_final y readme; review_final valida 16/16 checks y OK global, pero las lecciones son genericas.</t>
        </is>
      </c>
      <c r="H18" s="160" t="n">
        <v>3</v>
      </c>
      <c r="I18" s="160" t="n">
        <v>0</v>
      </c>
      <c r="J18" s="159" t="inlineStr">
        <is>
          <t>Cierre coherente: review final, README y lecciones no se contradicen.</t>
        </is>
      </c>
      <c r="K18" s="160" t="n">
        <v>3</v>
      </c>
      <c r="L18" s="160" t="n">
        <v>3</v>
      </c>
      <c r="M18" s="136">
        <f>IF(AND(K18&gt;0,L18&lt;&gt;""),L18/K18*100,"")</f>
        <v/>
      </c>
      <c r="N18" s="135">
        <f>IF(M18="","",IF(M18&lt;25,"0-25 ausente/residual",IF(M18&lt;50,"25-50 parcial",IF(M18&lt;75,"50-75 sustancial","75-100 alta"))))</f>
        <v/>
      </c>
      <c r="O18" s="159" t="inlineStr">
        <is>
          <t>Los tres documentos de cierre enlazan con validacion final, preparacion de entrega y aprendizaje del run.</t>
        </is>
      </c>
      <c r="P18" s="160" t="n">
        <v>1</v>
      </c>
      <c r="Q18" s="160" t="n">
        <v>0</v>
      </c>
      <c r="R18" s="160" t="n">
        <v>0</v>
      </c>
      <c r="S18" s="160" t="n">
        <v>1</v>
      </c>
      <c r="T18" s="135">
        <f>SUM(P18:S18)</f>
        <v/>
      </c>
    </row>
    <row r="19" ht="39.6" customFormat="1" customHeight="1" s="18">
      <c r="A19" s="146" t="inlineStr">
        <is>
          <t>ART-run_02-REQ</t>
        </is>
      </c>
      <c r="B19" s="146" t="inlineStr">
        <is>
          <t>Pipeline</t>
        </is>
      </c>
      <c r="C19" s="146" t="inlineStr">
        <is>
          <t>run_02</t>
        </is>
      </c>
      <c r="D19" s="146" t="inlineStr">
        <is>
          <t>Requisitos</t>
        </is>
      </c>
      <c r="E19" s="154" t="inlineStr">
        <is>
          <t>registro_requisitos.json + .md</t>
        </is>
      </c>
      <c r="F19" s="137">
        <f>IFERROR(INDEX('03b_R1_M1_resumen'!$I:$I,MATCH(A19,'03b_R1_M1_resumen'!$A:$A,0)),"")</f>
        <v/>
      </c>
      <c r="G19" s="161" t="inlineStr">
        <is>
          <t>registro_requisitos contiene 36 RF y 9 RNF con campos basicos; cubre la mayoria del brief, aunque dos roles quedan implicitos mas que declarados como requisito independiente.</t>
        </is>
      </c>
      <c r="H19" s="162" t="n">
        <v>2</v>
      </c>
      <c r="I19" s="162" t="n">
        <v>1</v>
      </c>
      <c r="J19" s="161" t="inlineStr">
        <is>
          <t>Gate 1 senala una omision/granularidad menor: cliente y administrador no aparecen como requisito independiente.</t>
        </is>
      </c>
      <c r="K19" s="162" t="n">
        <v>45</v>
      </c>
      <c r="L19" s="162" t="n">
        <v>44</v>
      </c>
      <c r="M19" s="138">
        <f>IF(AND(K19&gt;0,L19&lt;&gt;""),L19/K19*100,"")</f>
        <v/>
      </c>
      <c r="N19" s="137">
        <f>IF(M19="","",IF(M19&lt;25,"0-25 ausente/residual",IF(M19&lt;50,"25-50 parcial",IF(M19&lt;75,"50-75 sustancial","75-100 alta"))))</f>
        <v/>
      </c>
      <c r="O19" s="161" t="inlineStr">
        <is>
          <t>44 de 45 requisitos tienen correspondencia textual clara con el backlog; RNF-09 queda menos conectado.</t>
        </is>
      </c>
      <c r="P19" s="162" t="n">
        <v>1</v>
      </c>
      <c r="Q19" s="162" t="n">
        <v>0</v>
      </c>
      <c r="R19" s="162" t="n">
        <v>0</v>
      </c>
      <c r="S19" s="162" t="n">
        <v>1</v>
      </c>
      <c r="T19" s="137">
        <f>SUM(P19:S19)</f>
        <v/>
      </c>
    </row>
    <row r="20" ht="26.4" customFormat="1" customHeight="1" s="18">
      <c r="A20" s="147" t="inlineStr">
        <is>
          <t>ART-run_02-PLAN</t>
        </is>
      </c>
      <c r="B20" s="147" t="inlineStr">
        <is>
          <t>Pipeline</t>
        </is>
      </c>
      <c r="C20" s="147" t="inlineStr">
        <is>
          <t>run_02</t>
        </is>
      </c>
      <c r="D20" s="147" t="inlineStr">
        <is>
          <t>Planificación</t>
        </is>
      </c>
      <c r="E20" s="155" t="inlineStr">
        <is>
          <t>backlog + plan_sprints + riesgos</t>
        </is>
      </c>
      <c r="F20" s="106">
        <f>IFERROR(INDEX('03b_R1_M1_resumen'!$I:$I,MATCH(A20,'03b_R1_M1_resumen'!$A:$A,0)),"")</f>
        <v/>
      </c>
      <c r="G20" s="157" t="inlineStr">
        <is>
          <t>backlog, plan_sprints y riesgos estan presentes; hay 25 HU, tres sprints y 12 riesgos. Cobertura amplia con observaciones de reparto.</t>
        </is>
      </c>
      <c r="H20" s="158" t="n">
        <v>1</v>
      </c>
      <c r="I20" s="158" t="n">
        <v>1</v>
      </c>
      <c r="J20" s="157" t="inlineStr">
        <is>
          <t>Gate 2 detecta contradiccion menor: el entregable del Sprint 2 menciona consulta por codigo, pero HU-16 esta asignada al Sprint 3.</t>
        </is>
      </c>
      <c r="K20" s="158" t="n">
        <v>25</v>
      </c>
      <c r="L20" s="158" t="n">
        <v>25</v>
      </c>
      <c r="M20" s="107">
        <f>IF(AND(K20&gt;0,L20&lt;&gt;""),L20/K20*100,"")</f>
        <v/>
      </c>
      <c r="N20" s="106">
        <f>IF(M20="","",IF(M20&lt;25,"0-25 ausente/residual",IF(M20&lt;50,"25-50 parcial",IF(M20&lt;75,"50-75 sustancial","75-100 alta"))))</f>
        <v/>
      </c>
      <c r="O20" s="157" t="inlineStr">
        <is>
          <t>Las 25 HU aparecen planificadas y vinculadas por contenido al registro de requisitos.</t>
        </is>
      </c>
      <c r="P20" s="158" t="n">
        <v>1</v>
      </c>
      <c r="Q20" s="158" t="n">
        <v>0</v>
      </c>
      <c r="R20" s="158" t="n">
        <v>0</v>
      </c>
      <c r="S20" s="158" t="n">
        <v>1</v>
      </c>
      <c r="T20" s="106">
        <f>SUM(P20:S20)</f>
        <v/>
      </c>
    </row>
    <row r="21" ht="39.6" customFormat="1" customHeight="1" s="18">
      <c r="A21" s="147" t="inlineStr">
        <is>
          <t>ART-run_02-DIS</t>
        </is>
      </c>
      <c r="B21" s="147" t="inlineStr">
        <is>
          <t>Pipeline</t>
        </is>
      </c>
      <c r="C21" s="147" t="inlineStr">
        <is>
          <t>run_02</t>
        </is>
      </c>
      <c r="D21" s="147" t="inlineStr">
        <is>
          <t>Diseño técnico</t>
        </is>
      </c>
      <c r="E21" s="155" t="inlineStr">
        <is>
          <t>diseno_tecnico.json + .md</t>
        </is>
      </c>
      <c r="F21" s="106">
        <f>IFERROR(INDEX('03b_R1_M1_resumen'!$I:$I,MATCH(A21,'03b_R1_M1_resumen'!$A:$A,0)),"")</f>
        <v/>
      </c>
      <c r="G21" s="157" t="inlineStr">
        <is>
          <t>diseno_tecnico contiene stack, 6 apps Django, 7 modelos y 30 rutas. La version final corrige bloqueos detectados en la revision previa.</t>
        </is>
      </c>
      <c r="H21" s="158" t="n">
        <v>2</v>
      </c>
      <c r="I21" s="158" t="n">
        <v>2</v>
      </c>
      <c r="J21" s="157" t="inlineStr">
        <is>
          <t>El diseno regenerado corrige incoherencias bloqueantes; quedan observaciones menores sobre ImageField, User propio, core/settings y disponibilidad por fechas.</t>
        </is>
      </c>
      <c r="K21" s="158" t="n">
        <v>43</v>
      </c>
      <c r="L21" s="158" t="n">
        <v>42</v>
      </c>
      <c r="M21" s="107">
        <f>IF(AND(K21&gt;0,L21&lt;&gt;""),L21/K21*100,"")</f>
        <v/>
      </c>
      <c r="N21" s="106">
        <f>IF(M21="","",IF(M21&lt;25,"0-25 ausente/residual",IF(M21&lt;50,"25-50 parcial",IF(M21&lt;75,"50-75 sustancial","75-100 alta"))))</f>
        <v/>
      </c>
      <c r="O21" s="157" t="inlineStr">
        <is>
          <t>42 de 43 elementos de apps/modelos/rutas tienen enlace textual con requisitos o backlog; queda algun elemento tecnico menos trazado.</t>
        </is>
      </c>
      <c r="P21" s="158" t="n">
        <v>1</v>
      </c>
      <c r="Q21" s="158" t="n">
        <v>1</v>
      </c>
      <c r="R21" s="158" t="n">
        <v>1</v>
      </c>
      <c r="S21" s="158" t="n">
        <v>1</v>
      </c>
      <c r="T21" s="106">
        <f>SUM(P21:S21)</f>
        <v/>
      </c>
    </row>
    <row r="22" ht="26.4" customFormat="1" customHeight="1" s="18">
      <c r="A22" s="147" t="inlineStr">
        <is>
          <t>ART-run_02-SEG-S1</t>
        </is>
      </c>
      <c r="B22" s="147" t="inlineStr">
        <is>
          <t>Pipeline</t>
        </is>
      </c>
      <c r="C22" s="147" t="inlineStr">
        <is>
          <t>run_02</t>
        </is>
      </c>
      <c r="D22" s="147" t="inlineStr">
        <is>
          <t>Seguimiento</t>
        </is>
      </c>
      <c r="E22" s="155" t="inlineStr">
        <is>
          <t>review_sprint_1.json + .md</t>
        </is>
      </c>
      <c r="F22" s="106">
        <f>IFERROR(INDEX('03b_R1_M1_resumen'!$I:$I,MATCH(A22,'03b_R1_M1_resumen'!$A:$A,0)),"")</f>
        <v/>
      </c>
      <c r="G22" s="157" t="inlineStr">
        <is>
          <t>review_sprint_1 cubre 12 items pedidos, entregables, cumplimiento, arranque, rutas, templates e incidencias.</t>
        </is>
      </c>
      <c r="H22" s="158" t="n">
        <v>3</v>
      </c>
      <c r="I22" s="158" t="n">
        <v>0</v>
      </c>
      <c r="J22" s="157" t="inlineStr">
        <is>
          <t>No se detectan contradicciones internas; la incidencia esta registrada como dato de seguimiento.</t>
        </is>
      </c>
      <c r="K22" s="158" t="n">
        <v>12</v>
      </c>
      <c r="L22" s="158" t="n">
        <v>12</v>
      </c>
      <c r="M22" s="107">
        <f>IF(AND(K22&gt;0,L22&lt;&gt;""),L22/K22*100,"")</f>
        <v/>
      </c>
      <c r="N22" s="106">
        <f>IF(M22="","",IF(M22&lt;25,"0-25 ausente/residual",IF(M22&lt;50,"25-50 parcial",IF(M22&lt;75,"50-75 sustancial","75-100 alta"))))</f>
        <v/>
      </c>
      <c r="O22" s="157" t="inlineStr">
        <is>
          <t>Los 12 items pedidos quedan enlazados con entregables y checks de la review.</t>
        </is>
      </c>
      <c r="P22" s="158" t="n">
        <v>1</v>
      </c>
      <c r="Q22" s="158" t="n">
        <v>0</v>
      </c>
      <c r="R22" s="158" t="n">
        <v>1</v>
      </c>
      <c r="S22" s="158" t="n">
        <v>1</v>
      </c>
      <c r="T22" s="106">
        <f>SUM(P22:S22)</f>
        <v/>
      </c>
    </row>
    <row r="23" ht="26.4" customFormat="1" customHeight="1" s="18">
      <c r="A23" s="147" t="inlineStr">
        <is>
          <t>ART-run_02-SEG-S2</t>
        </is>
      </c>
      <c r="B23" s="147" t="inlineStr">
        <is>
          <t>Pipeline</t>
        </is>
      </c>
      <c r="C23" s="147" t="inlineStr">
        <is>
          <t>run_02</t>
        </is>
      </c>
      <c r="D23" s="147" t="inlineStr">
        <is>
          <t>Seguimiento</t>
        </is>
      </c>
      <c r="E23" s="155" t="inlineStr">
        <is>
          <t>review_sprint_2.json + .md</t>
        </is>
      </c>
      <c r="F23" s="106">
        <f>IFERROR(INDEX('03b_R1_M1_resumen'!$I:$I,MATCH(A23,'03b_R1_M1_resumen'!$A:$A,0)),"")</f>
        <v/>
      </c>
      <c r="G23" s="157" t="inlineStr">
        <is>
          <t>review_sprint_2 cubre 6 items pedidos, entregables, cumplimiento, arranque, rutas y templates; sin incidencias.</t>
        </is>
      </c>
      <c r="H23" s="158" t="n">
        <v>3</v>
      </c>
      <c r="I23" s="158" t="n">
        <v>0</v>
      </c>
      <c r="J23" s="157" t="inlineStr">
        <is>
          <t>Artefacto coherente, sin contradicciones internas detectadas.</t>
        </is>
      </c>
      <c r="K23" s="158" t="n">
        <v>6</v>
      </c>
      <c r="L23" s="158" t="n">
        <v>6</v>
      </c>
      <c r="M23" s="107">
        <f>IF(AND(K23&gt;0,L23&lt;&gt;""),L23/K23*100,"")</f>
        <v/>
      </c>
      <c r="N23" s="106">
        <f>IF(M23="","",IF(M23&lt;25,"0-25 ausente/residual",IF(M23&lt;50,"25-50 parcial",IF(M23&lt;75,"50-75 sustancial","75-100 alta"))))</f>
        <v/>
      </c>
      <c r="O23" s="157" t="inlineStr">
        <is>
          <t>Los 6 items pedidos quedan enlazados con entregables y checks de la review.</t>
        </is>
      </c>
      <c r="P23" s="158" t="n">
        <v>1</v>
      </c>
      <c r="Q23" s="158" t="n">
        <v>0</v>
      </c>
      <c r="R23" s="158" t="n">
        <v>0</v>
      </c>
      <c r="S23" s="158" t="n">
        <v>1</v>
      </c>
      <c r="T23" s="106">
        <f>SUM(P23:S23)</f>
        <v/>
      </c>
    </row>
    <row r="24" ht="26.4" customFormat="1" customHeight="1" s="18">
      <c r="A24" s="147" t="inlineStr">
        <is>
          <t>ART-run_02-SEG-S3</t>
        </is>
      </c>
      <c r="B24" s="147" t="inlineStr">
        <is>
          <t>Pipeline</t>
        </is>
      </c>
      <c r="C24" s="147" t="inlineStr">
        <is>
          <t>run_02</t>
        </is>
      </c>
      <c r="D24" s="147" t="inlineStr">
        <is>
          <t>Seguimiento</t>
        </is>
      </c>
      <c r="E24" s="155" t="inlineStr">
        <is>
          <t>review_sprint_3.json + .md</t>
        </is>
      </c>
      <c r="F24" s="106">
        <f>IFERROR(INDEX('03b_R1_M1_resumen'!$I:$I,MATCH(A24,'03b_R1_M1_resumen'!$A:$A,0)),"")</f>
        <v/>
      </c>
      <c r="G24" s="157" t="inlineStr">
        <is>
          <t>review_sprint_3 cubre 7 items pedidos, entregables, cumplimiento, arranque, rutas y templates; sin incidencias.</t>
        </is>
      </c>
      <c r="H24" s="158" t="n">
        <v>3</v>
      </c>
      <c r="I24" s="158" t="n">
        <v>0</v>
      </c>
      <c r="J24" s="157" t="inlineStr">
        <is>
          <t>Artefacto coherente, sin contradicciones internas detectadas.</t>
        </is>
      </c>
      <c r="K24" s="158" t="n">
        <v>7</v>
      </c>
      <c r="L24" s="158" t="n">
        <v>7</v>
      </c>
      <c r="M24" s="107">
        <f>IF(AND(K24&gt;0,L24&lt;&gt;""),L24/K24*100,"")</f>
        <v/>
      </c>
      <c r="N24" s="106">
        <f>IF(M24="","",IF(M24&lt;25,"0-25 ausente/residual",IF(M24&lt;50,"25-50 parcial",IF(M24&lt;75,"50-75 sustancial","75-100 alta"))))</f>
        <v/>
      </c>
      <c r="O24" s="157" t="inlineStr">
        <is>
          <t>Los 7 items pedidos quedan enlazados con entregables y checks de la review.</t>
        </is>
      </c>
      <c r="P24" s="158" t="n">
        <v>1</v>
      </c>
      <c r="Q24" s="158" t="n">
        <v>0</v>
      </c>
      <c r="R24" s="158" t="n">
        <v>0</v>
      </c>
      <c r="S24" s="158" t="n">
        <v>1</v>
      </c>
      <c r="T24" s="106">
        <f>SUM(P24:S24)</f>
        <v/>
      </c>
    </row>
    <row r="25" ht="27" customFormat="1" customHeight="1" s="18" thickBot="1">
      <c r="A25" s="148" t="inlineStr">
        <is>
          <t>ART-run_02-CIE</t>
        </is>
      </c>
      <c r="B25" s="148" t="inlineStr">
        <is>
          <t>Pipeline</t>
        </is>
      </c>
      <c r="C25" s="148" t="inlineStr">
        <is>
          <t>run_02</t>
        </is>
      </c>
      <c r="D25" s="148" t="inlineStr">
        <is>
          <t>Cierre</t>
        </is>
      </c>
      <c r="E25" s="156" t="inlineStr">
        <is>
          <t>lecciones_aprendidas.md + review_final.md + readme.md</t>
        </is>
      </c>
      <c r="F25" s="135">
        <f>IFERROR(INDEX('03b_R1_M1_resumen'!$I:$I,MATCH(A25,'03b_R1_M1_resumen'!$A:$A,0)),"")</f>
        <v/>
      </c>
      <c r="G25" s="159" t="inlineStr">
        <is>
          <t>Cierre con lecciones_aprendidas, review_final y readme; review_final muestra OK global y 16 checks ejecutados, pero lecciones poco especificas.</t>
        </is>
      </c>
      <c r="H25" s="160" t="n">
        <v>3</v>
      </c>
      <c r="I25" s="160" t="n">
        <v>0</v>
      </c>
      <c r="J25" s="159" t="inlineStr">
        <is>
          <t>Cierre coherente y sin incidencias finales.</t>
        </is>
      </c>
      <c r="K25" s="160" t="n">
        <v>3</v>
      </c>
      <c r="L25" s="160" t="n">
        <v>3</v>
      </c>
      <c r="M25" s="136">
        <f>IF(AND(K25&gt;0,L25&lt;&gt;""),L25/K25*100,"")</f>
        <v/>
      </c>
      <c r="N25" s="135">
        <f>IF(M25="","",IF(M25&lt;25,"0-25 ausente/residual",IF(M25&lt;50,"25-50 parcial",IF(M25&lt;75,"50-75 sustancial","75-100 alta"))))</f>
        <v/>
      </c>
      <c r="O25" s="159" t="inlineStr">
        <is>
          <t>Los tres documentos de cierre enlazan con validacion final, entrega y aprendizaje del run.</t>
        </is>
      </c>
      <c r="P25" s="160" t="n">
        <v>1</v>
      </c>
      <c r="Q25" s="160" t="n">
        <v>0</v>
      </c>
      <c r="R25" s="160" t="n">
        <v>0</v>
      </c>
      <c r="S25" s="160" t="n">
        <v>1</v>
      </c>
      <c r="T25" s="135">
        <f>SUM(P25:S25)</f>
        <v/>
      </c>
    </row>
    <row r="26" ht="24.6" customFormat="1" customHeight="1" s="18">
      <c r="A26" s="146" t="inlineStr">
        <is>
          <t>ART-run_03-REQ</t>
        </is>
      </c>
      <c r="B26" s="146" t="inlineStr">
        <is>
          <t>Pipeline</t>
        </is>
      </c>
      <c r="C26" s="146" t="inlineStr">
        <is>
          <t>run_03</t>
        </is>
      </c>
      <c r="D26" s="146" t="inlineStr">
        <is>
          <t>Requisitos</t>
        </is>
      </c>
      <c r="E26" s="154" t="inlineStr">
        <is>
          <t>registro_requisitos.json + .md</t>
        </is>
      </c>
      <c r="F26" s="137">
        <f>IFERROR(INDEX('03b_R1_M1_resumen'!$I:$I,MATCH(A26,'03b_R1_M1_resumen'!$A:$A,0)),"")</f>
        <v/>
      </c>
      <c r="G26" s="161" t="inlineStr">
        <is>
          <t>registro_requisitos contiene 38 RF y 9 RNF con ID, descripcion y prioridad; el gate lo considera completo y suficiente para avanzar.</t>
        </is>
      </c>
      <c r="H26" s="162" t="n">
        <v>3</v>
      </c>
      <c r="I26" s="162" t="n">
        <v>0</v>
      </c>
      <c r="J26" s="161" t="inlineStr">
        <is>
          <t>Gate 1 acepta el artefacto como completo; no se detectan contradicciones internas.</t>
        </is>
      </c>
      <c r="K26" s="162" t="n">
        <v>47</v>
      </c>
      <c r="L26" s="162" t="n">
        <v>47</v>
      </c>
      <c r="M26" s="138">
        <f>IF(AND(K26&gt;0,L26&lt;&gt;""),L26/K26*100,"")</f>
        <v/>
      </c>
      <c r="N26" s="137">
        <f>IF(M26="","",IF(M26&lt;25,"0-25 ausente/residual",IF(M26&lt;50,"25-50 parcial",IF(M26&lt;75,"50-75 sustancial","75-100 alta"))))</f>
        <v/>
      </c>
      <c r="O26" s="161" t="inlineStr">
        <is>
          <t>Todos los 47 RF/RNF tienen correspondencia textual con el backlog y cobertura aceptada por gate.</t>
        </is>
      </c>
      <c r="P26" s="162" t="n">
        <v>1</v>
      </c>
      <c r="Q26" s="162" t="n">
        <v>0</v>
      </c>
      <c r="R26" s="162" t="n">
        <v>0</v>
      </c>
      <c r="S26" s="162" t="n">
        <v>1</v>
      </c>
      <c r="T26" s="137">
        <f>SUM(P26:S26)</f>
        <v/>
      </c>
    </row>
    <row r="27" ht="26.4" customFormat="1" customHeight="1" s="18">
      <c r="A27" s="147" t="inlineStr">
        <is>
          <t>ART-run_03-PLAN</t>
        </is>
      </c>
      <c r="B27" s="147" t="inlineStr">
        <is>
          <t>Pipeline</t>
        </is>
      </c>
      <c r="C27" s="147" t="inlineStr">
        <is>
          <t>run_03</t>
        </is>
      </c>
      <c r="D27" s="147" t="inlineStr">
        <is>
          <t>Planificación</t>
        </is>
      </c>
      <c r="E27" s="155" t="inlineStr">
        <is>
          <t>backlog + plan_sprints + riesgos</t>
        </is>
      </c>
      <c r="F27" s="106">
        <f>IFERROR(INDEX('03b_R1_M1_resumen'!$I:$I,MATCH(A27,'03b_R1_M1_resumen'!$A:$A,0)),"")</f>
        <v/>
      </c>
      <c r="G27" s="157" t="inlineStr">
        <is>
          <t>backlog, plan_sprints y riesgos estan presentes; hay 23 HU, tres sprints y 10 riesgos. Cobertura suficiente con observaciones no bloqueantes.</t>
        </is>
      </c>
      <c r="H27" s="158" t="n">
        <v>2</v>
      </c>
      <c r="I27" s="158" t="n">
        <v>1</v>
      </c>
      <c r="J27" s="157" t="inlineStr">
        <is>
          <t>Gate 2 no detecta incoherencias bloqueantes; queda alguna observacion menor de planificacion.</t>
        </is>
      </c>
      <c r="K27" s="158" t="n">
        <v>23</v>
      </c>
      <c r="L27" s="158" t="n">
        <v>23</v>
      </c>
      <c r="M27" s="107">
        <f>IF(AND(K27&gt;0,L27&lt;&gt;""),L27/K27*100,"")</f>
        <v/>
      </c>
      <c r="N27" s="106">
        <f>IF(M27="","",IF(M27&lt;25,"0-25 ausente/residual",IF(M27&lt;50,"25-50 parcial",IF(M27&lt;75,"50-75 sustancial","75-100 alta"))))</f>
        <v/>
      </c>
      <c r="O27" s="157" t="inlineStr">
        <is>
          <t>Las 23 HU aparecen planificadas y son trazables por contenido al registro de requisitos.</t>
        </is>
      </c>
      <c r="P27" s="158" t="n">
        <v>1</v>
      </c>
      <c r="Q27" s="158" t="n">
        <v>0</v>
      </c>
      <c r="R27" s="158" t="n">
        <v>0</v>
      </c>
      <c r="S27" s="158" t="n">
        <v>1</v>
      </c>
      <c r="T27" s="106">
        <f>SUM(P27:S27)</f>
        <v/>
      </c>
    </row>
    <row r="28" ht="39.6" customFormat="1" customHeight="1" s="18">
      <c r="A28" s="147" t="inlineStr">
        <is>
          <t>ART-run_03-DIS</t>
        </is>
      </c>
      <c r="B28" s="147" t="inlineStr">
        <is>
          <t>Pipeline</t>
        </is>
      </c>
      <c r="C28" s="147" t="inlineStr">
        <is>
          <t>run_03</t>
        </is>
      </c>
      <c r="D28" s="147" t="inlineStr">
        <is>
          <t>Diseño técnico</t>
        </is>
      </c>
      <c r="E28" s="155" t="inlineStr">
        <is>
          <t>diseno_tecnico.json + .md</t>
        </is>
      </c>
      <c r="F28" s="106">
        <f>IFERROR(INDEX('03b_R1_M1_resumen'!$I:$I,MATCH(A28,'03b_R1_M1_resumen'!$A:$A,0)),"")</f>
        <v/>
      </c>
      <c r="G28" s="157" t="inlineStr">
        <is>
          <t>diseno_tecnico contiene stack, 7 apps Django, 8 modelos y 33 rutas; cubre panel admin, reservas con lineas, pagos y cancelacion publica.</t>
        </is>
      </c>
      <c r="H28" s="158" t="n">
        <v>2</v>
      </c>
      <c r="I28" s="158" t="n">
        <v>3</v>
      </c>
      <c r="J28" s="157" t="inlineStr">
        <is>
          <t>Gate 3 marca observaciones menores: ImageField como cadena, namespace admin/admin_panel, core/settings y calculo de disponibilidad.</t>
        </is>
      </c>
      <c r="K28" s="158" t="n">
        <v>48</v>
      </c>
      <c r="L28" s="158" t="n">
        <v>47</v>
      </c>
      <c r="M28" s="107">
        <f>IF(AND(K28&gt;0,L28&lt;&gt;""),L28/K28*100,"")</f>
        <v/>
      </c>
      <c r="N28" s="106">
        <f>IF(M28="","",IF(M28&lt;25,"0-25 ausente/residual",IF(M28&lt;50,"25-50 parcial",IF(M28&lt;75,"50-75 sustancial","75-100 alta"))))</f>
        <v/>
      </c>
      <c r="O28" s="157" t="inlineStr">
        <is>
          <t>47 de 48 elementos de apps/modelos/rutas enlazan textualmente con requisitos o backlog; queda un detalle tecnico menos trazado.</t>
        </is>
      </c>
      <c r="P28" s="158" t="n">
        <v>1</v>
      </c>
      <c r="Q28" s="158" t="n">
        <v>0</v>
      </c>
      <c r="R28" s="158" t="n">
        <v>0</v>
      </c>
      <c r="S28" s="158" t="n">
        <v>1</v>
      </c>
      <c r="T28" s="106">
        <f>SUM(P28:S28)</f>
        <v/>
      </c>
    </row>
    <row r="29" ht="26.4" customFormat="1" customHeight="1" s="18">
      <c r="A29" s="147" t="inlineStr">
        <is>
          <t>ART-run_03-SEG-S1</t>
        </is>
      </c>
      <c r="B29" s="147" t="inlineStr">
        <is>
          <t>Pipeline</t>
        </is>
      </c>
      <c r="C29" s="147" t="inlineStr">
        <is>
          <t>run_03</t>
        </is>
      </c>
      <c r="D29" s="147" t="inlineStr">
        <is>
          <t>Seguimiento</t>
        </is>
      </c>
      <c r="E29" s="155" t="inlineStr">
        <is>
          <t>review_sprint_1.json + .md</t>
        </is>
      </c>
      <c r="F29" s="106">
        <f>IFERROR(INDEX('03b_R1_M1_resumen'!$I:$I,MATCH(A29,'03b_R1_M1_resumen'!$A:$A,0)),"")</f>
        <v/>
      </c>
      <c r="G29" s="157" t="inlineStr">
        <is>
          <t>review_sprint_1 cubre 9 items pedidos, entregables, cumplimiento, arranque, rutas, templates e incidencias.</t>
        </is>
      </c>
      <c r="H29" s="158" t="n">
        <v>3</v>
      </c>
      <c r="I29" s="158" t="n">
        <v>0</v>
      </c>
      <c r="J29" s="157" t="inlineStr">
        <is>
          <t>No se detectan contradicciones internas; las incidencias estan registradas como seguimiento.</t>
        </is>
      </c>
      <c r="K29" s="158" t="n">
        <v>9</v>
      </c>
      <c r="L29" s="158" t="n">
        <v>9</v>
      </c>
      <c r="M29" s="107">
        <f>IF(AND(K29&gt;0,L29&lt;&gt;""),L29/K29*100,"")</f>
        <v/>
      </c>
      <c r="N29" s="106">
        <f>IF(M29="","",IF(M29&lt;25,"0-25 ausente/residual",IF(M29&lt;50,"25-50 parcial",IF(M29&lt;75,"50-75 sustancial","75-100 alta"))))</f>
        <v/>
      </c>
      <c r="O29" s="157" t="inlineStr">
        <is>
          <t>Los 9 items pedidos quedan enlazados con entregables y checks de la review.</t>
        </is>
      </c>
      <c r="P29" s="158" t="n">
        <v>1</v>
      </c>
      <c r="Q29" s="158" t="n">
        <v>0</v>
      </c>
      <c r="R29" s="158" t="n">
        <v>1</v>
      </c>
      <c r="S29" s="158" t="n">
        <v>1</v>
      </c>
      <c r="T29" s="106">
        <f>SUM(P29:S29)</f>
        <v/>
      </c>
    </row>
    <row r="30" ht="26.4" customFormat="1" customHeight="1" s="18">
      <c r="A30" s="147" t="inlineStr">
        <is>
          <t>ART-run_03-SEG-S2</t>
        </is>
      </c>
      <c r="B30" s="147" t="inlineStr">
        <is>
          <t>Pipeline</t>
        </is>
      </c>
      <c r="C30" s="147" t="inlineStr">
        <is>
          <t>run_03</t>
        </is>
      </c>
      <c r="D30" s="147" t="inlineStr">
        <is>
          <t>Seguimiento</t>
        </is>
      </c>
      <c r="E30" s="155" t="inlineStr">
        <is>
          <t>review_sprint_2.json + .md</t>
        </is>
      </c>
      <c r="F30" s="106">
        <f>IFERROR(INDEX('03b_R1_M1_resumen'!$I:$I,MATCH(A30,'03b_R1_M1_resumen'!$A:$A,0)),"")</f>
        <v/>
      </c>
      <c r="G30" s="157" t="inlineStr">
        <is>
          <t>review_sprint_2 cubre 7 items pedidos, entregables, cumplimiento, arranque, rutas, templates e incidencias.</t>
        </is>
      </c>
      <c r="H30" s="158" t="n">
        <v>3</v>
      </c>
      <c r="I30" s="158" t="n">
        <v>0</v>
      </c>
      <c r="J30" s="157" t="inlineStr">
        <is>
          <t>No se detectan contradicciones internas; la incidencia registrada no contradice el artefacto.</t>
        </is>
      </c>
      <c r="K30" s="158" t="n">
        <v>7</v>
      </c>
      <c r="L30" s="158" t="n">
        <v>7</v>
      </c>
      <c r="M30" s="107">
        <f>IF(AND(K30&gt;0,L30&lt;&gt;""),L30/K30*100,"")</f>
        <v/>
      </c>
      <c r="N30" s="106">
        <f>IF(M30="","",IF(M30&lt;25,"0-25 ausente/residual",IF(M30&lt;50,"25-50 parcial",IF(M30&lt;75,"50-75 sustancial","75-100 alta"))))</f>
        <v/>
      </c>
      <c r="O30" s="157" t="inlineStr">
        <is>
          <t>Los 7 items pedidos quedan enlazados con entregables y checks de la review.</t>
        </is>
      </c>
      <c r="P30" s="158" t="n">
        <v>1</v>
      </c>
      <c r="Q30" s="158" t="n">
        <v>0</v>
      </c>
      <c r="R30" s="158" t="n">
        <v>1</v>
      </c>
      <c r="S30" s="158" t="n">
        <v>1</v>
      </c>
      <c r="T30" s="106">
        <f>SUM(P30:S30)</f>
        <v/>
      </c>
    </row>
    <row r="31" ht="26.4" customFormat="1" customHeight="1" s="18">
      <c r="A31" s="147" t="inlineStr">
        <is>
          <t>ART-run_03-SEG-S3</t>
        </is>
      </c>
      <c r="B31" s="147" t="inlineStr">
        <is>
          <t>Pipeline</t>
        </is>
      </c>
      <c r="C31" s="147" t="inlineStr">
        <is>
          <t>run_03</t>
        </is>
      </c>
      <c r="D31" s="147" t="inlineStr">
        <is>
          <t>Seguimiento</t>
        </is>
      </c>
      <c r="E31" s="155" t="inlineStr">
        <is>
          <t>review_sprint_3.json + .md</t>
        </is>
      </c>
      <c r="F31" s="106">
        <f>IFERROR(INDEX('03b_R1_M1_resumen'!$I:$I,MATCH(A31,'03b_R1_M1_resumen'!$A:$A,0)),"")</f>
        <v/>
      </c>
      <c r="G31" s="157" t="inlineStr">
        <is>
          <t>review_sprint_3 cubre 7 items pedidos, entregables, cumplimiento, arranque, rutas y templates; sin incidencias.</t>
        </is>
      </c>
      <c r="H31" s="158" t="n">
        <v>3</v>
      </c>
      <c r="I31" s="158" t="n">
        <v>0</v>
      </c>
      <c r="J31" s="157" t="inlineStr">
        <is>
          <t>Artefacto coherente, sin contradicciones internas detectadas.</t>
        </is>
      </c>
      <c r="K31" s="158" t="n">
        <v>7</v>
      </c>
      <c r="L31" s="158" t="n">
        <v>7</v>
      </c>
      <c r="M31" s="107">
        <f>IF(AND(K31&gt;0,L31&lt;&gt;""),L31/K31*100,"")</f>
        <v/>
      </c>
      <c r="N31" s="106">
        <f>IF(M31="","",IF(M31&lt;25,"0-25 ausente/residual",IF(M31&lt;50,"25-50 parcial",IF(M31&lt;75,"50-75 sustancial","75-100 alta"))))</f>
        <v/>
      </c>
      <c r="O31" s="157" t="inlineStr">
        <is>
          <t>Los 7 items pedidos quedan enlazados con entregables y checks de la review.</t>
        </is>
      </c>
      <c r="P31" s="158" t="n">
        <v>1</v>
      </c>
      <c r="Q31" s="158" t="n">
        <v>0</v>
      </c>
      <c r="R31" s="158" t="n">
        <v>0</v>
      </c>
      <c r="S31" s="158" t="n">
        <v>1</v>
      </c>
      <c r="T31" s="106">
        <f>SUM(P31:S31)</f>
        <v/>
      </c>
    </row>
    <row r="32" ht="26.4" customFormat="1" customHeight="1" s="18">
      <c r="A32" s="147" t="inlineStr">
        <is>
          <t>ART-run_03-CIE</t>
        </is>
      </c>
      <c r="B32" s="147" t="inlineStr">
        <is>
          <t>Pipeline</t>
        </is>
      </c>
      <c r="C32" s="147" t="inlineStr">
        <is>
          <t>run_03</t>
        </is>
      </c>
      <c r="D32" s="147" t="inlineStr">
        <is>
          <t>Cierre</t>
        </is>
      </c>
      <c r="E32" s="155" t="inlineStr">
        <is>
          <t>lecciones_aprendidas.md + review_final.md + readme.md</t>
        </is>
      </c>
      <c r="F32" s="106">
        <f>IFERROR(INDEX('03b_R1_M1_resumen'!$I:$I,MATCH(A32,'03b_R1_M1_resumen'!$A:$A,0)),"")</f>
        <v/>
      </c>
      <c r="G32" s="157" t="inlineStr">
        <is>
          <t>Cierre con lecciones_aprendidas, review_final y readme; review_final muestra OK global y 16 checks ejecutados, pero las lecciones son genericas.</t>
        </is>
      </c>
      <c r="H32" s="158" t="n">
        <v>3</v>
      </c>
      <c r="I32" s="158" t="n">
        <v>0</v>
      </c>
      <c r="J32" s="157" t="inlineStr">
        <is>
          <t>Cierre coherente y sin incidencias finales.</t>
        </is>
      </c>
      <c r="K32" s="158" t="n">
        <v>3</v>
      </c>
      <c r="L32" s="158" t="n">
        <v>3</v>
      </c>
      <c r="M32" s="107">
        <f>IF(AND(K32&gt;0,L32&lt;&gt;""),L32/K32*100,"")</f>
        <v/>
      </c>
      <c r="N32" s="106">
        <f>IF(M32="","",IF(M32&lt;25,"0-25 ausente/residual",IF(M32&lt;50,"25-50 parcial",IF(M32&lt;75,"50-75 sustancial","75-100 alta"))))</f>
        <v/>
      </c>
      <c r="O32" s="157" t="inlineStr">
        <is>
          <t>Los tres documentos de cierre enlazan con validacion final, entrega y aprendizaje del run.</t>
        </is>
      </c>
      <c r="P32" s="158" t="n">
        <v>1</v>
      </c>
      <c r="Q32" s="158" t="n">
        <v>0</v>
      </c>
      <c r="R32" s="158" t="n">
        <v>0</v>
      </c>
      <c r="S32" s="158" t="n">
        <v>1</v>
      </c>
      <c r="T32" s="106">
        <f>SUM(P32:S32)</f>
        <v/>
      </c>
    </row>
    <row r="34">
      <c r="A34" t="inlineStr">
        <is>
          <t>Nota M5 (memoria, cap. 9): la huella de gobernanza acredita G1 (decisión) y G4 (aprobación) solo en fases con gate humano. En sprints y cierre del pipeline, sin gate, G1 y G4 no se acreditan.</t>
        </is>
      </c>
    </row>
    <row r="35">
      <c r="A35" t="inlineStr">
        <is>
          <t>La media de M5 reportada es el promedio de las cinco familias. Baseline·Requisitos = 3 (G1,G2,G3,G4 = 1,1,1,0).</t>
        </is>
      </c>
    </row>
    <row r="36">
      <c r="A36" t="inlineStr">
        <is>
          <t>Valores finales M5 (media por caso): Baseline 2,40 · Run 01 1,27 · Run 02 1,67 · Run 03 1,33. Media del pipeline 1,42.</t>
        </is>
      </c>
    </row>
  </sheetData>
  <mergeCells count="2">
    <mergeCell ref="A1:T1"/>
    <mergeCell ref="A2:T2"/>
  </mergeCells>
  <dataValidations count="2">
    <dataValidation sqref="F5:F32 H5:H32" showDropDown="0" showInputMessage="0" showErrorMessage="0" allowBlank="1" type="list">
      <formula1>"0,1,2,3"</formula1>
      <formula2>0</formula2>
    </dataValidation>
    <dataValidation sqref="P5:S32" showDropDown="0" showInputMessage="0" showErrorMessage="0" allowBlank="1" type="list">
      <formula1>"0,1"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6"/>
  <sheetViews>
    <sheetView zoomScale="70" zoomScaleNormal="70" workbookViewId="0">
      <pane ySplit="4" topLeftCell="A10" activePane="bottomLeft" state="frozen"/>
      <selection pane="bottomLeft" activeCell="G46" sqref="G46:H46"/>
    </sheetView>
  </sheetViews>
  <sheetFormatPr baseColWidth="10" defaultColWidth="8.6640625" defaultRowHeight="13.2"/>
  <cols>
    <col width="29.77734375" bestFit="1" customWidth="1" style="198" min="1" max="1"/>
    <col width="19.44140625" bestFit="1" customWidth="1" style="198" min="2" max="2"/>
    <col width="36.88671875" bestFit="1" customWidth="1" style="199" min="3" max="3"/>
    <col width="10.6640625" customWidth="1" style="198" min="4" max="4"/>
    <col width="14.5546875" customWidth="1" style="198" min="5" max="5"/>
    <col width="18.44140625" customWidth="1" style="199" min="6" max="6"/>
    <col width="12.44140625" customWidth="1" style="199" min="7" max="7"/>
    <col width="12.44140625" bestFit="1" customWidth="1" style="199" min="8" max="9"/>
    <col width="10.77734375" customWidth="1" style="199" min="10" max="10"/>
    <col width="66.109375" bestFit="1" customWidth="1" style="200" min="11" max="11"/>
    <col width="8.6640625" customWidth="1" style="200" min="12" max="17"/>
    <col width="8.6640625" customWidth="1" style="200" min="18" max="16384"/>
  </cols>
  <sheetData>
    <row r="1">
      <c r="A1" s="203" t="inlineStr">
        <is>
          <t>P1/P2 — Validación técnica del producto + suite de pruebas funcionales</t>
        </is>
      </c>
    </row>
    <row r="2">
      <c r="A2" s="197" t="inlineStr">
        <is>
          <t>La suite es la misma para baseline y para los 3 runs IA. Replica las columnas de resultado por cada caso. M6 = % funcionalidades implementadas; M7 = % tests pasados.</t>
        </is>
      </c>
    </row>
    <row r="4" ht="39.6" customHeight="1">
      <c r="A4" s="5" t="inlineStr">
        <is>
          <t>ID test</t>
        </is>
      </c>
      <c r="B4" s="5" t="inlineStr">
        <is>
          <t>Área</t>
        </is>
      </c>
      <c r="C4" s="5" t="inlineStr">
        <is>
          <t>Objetivo</t>
        </is>
      </c>
      <c r="D4" s="5" t="inlineStr">
        <is>
          <t>Prioridad</t>
        </is>
      </c>
      <c r="E4" s="5" t="inlineStr">
        <is>
          <t>Tipo evaluación</t>
        </is>
      </c>
      <c r="F4" s="5" t="inlineStr">
        <is>
          <t>Resultado Baseline (PASS/FAIL/
MANUAL/PARCIAL)</t>
        </is>
      </c>
      <c r="G4" s="5" t="inlineStr">
        <is>
          <t>Resultado 
Run 01</t>
        </is>
      </c>
      <c r="H4" s="5" t="inlineStr">
        <is>
          <t>Resultado 
Run 02</t>
        </is>
      </c>
      <c r="I4" s="5" t="inlineStr">
        <is>
          <t>Resultado 
Run 03</t>
        </is>
      </c>
      <c r="J4" s="5" t="inlineStr">
        <is>
          <t>Métricas</t>
        </is>
      </c>
      <c r="K4" s="5" t="inlineStr">
        <is>
          <t>Evidencia / Observaciones</t>
        </is>
      </c>
    </row>
    <row r="5" ht="39.6" customHeight="1">
      <c r="A5" s="70" t="inlineStr">
        <is>
          <t>T-AUTH-01</t>
        </is>
      </c>
      <c r="B5" s="70" t="inlineStr">
        <is>
          <t>Autenticación</t>
        </is>
      </c>
      <c r="C5" s="71" t="inlineStr">
        <is>
          <t>Registro de cliente</t>
        </is>
      </c>
      <c r="D5" s="70" t="inlineStr">
        <is>
          <t>Alta</t>
        </is>
      </c>
      <c r="E5" s="70" t="inlineStr">
        <is>
          <t>MANUAL</t>
        </is>
      </c>
      <c r="F5" s="72" t="inlineStr">
        <is>
          <t>PASS</t>
        </is>
      </c>
      <c r="G5" s="72" t="inlineStr">
        <is>
          <t>PASS</t>
        </is>
      </c>
      <c r="H5" s="72" t="inlineStr">
        <is>
          <t>PASS</t>
        </is>
      </c>
      <c r="I5" s="72" t="inlineStr">
        <is>
          <t>PASS</t>
        </is>
      </c>
      <c r="J5" s="70" t="inlineStr">
        <is>
          <t>M6,M7</t>
        </is>
      </c>
      <c r="K5" s="73" t="inlineStr">
        <is>
          <t>RUN 01: Validaciones de formulario incluidas.
RUN 02: Mejor interfaz que RUN 01.
RUN 03: La mejor interfaz de los demas Runs.</t>
        </is>
      </c>
    </row>
    <row r="6">
      <c r="A6" s="70" t="inlineStr">
        <is>
          <t>T-AUTH-02</t>
        </is>
      </c>
      <c r="B6" s="70" t="inlineStr">
        <is>
          <t>Autenticación</t>
        </is>
      </c>
      <c r="C6" s="71" t="inlineStr">
        <is>
          <t>Login de usuario</t>
        </is>
      </c>
      <c r="D6" s="70" t="inlineStr">
        <is>
          <t>Alta</t>
        </is>
      </c>
      <c r="E6" s="70" t="inlineStr">
        <is>
          <t>AUTOMATICA</t>
        </is>
      </c>
      <c r="F6" s="72" t="inlineStr">
        <is>
          <t>PASS</t>
        </is>
      </c>
      <c r="G6" s="72" t="inlineStr">
        <is>
          <t>PASS</t>
        </is>
      </c>
      <c r="H6" s="72" t="inlineStr">
        <is>
          <t>PASS</t>
        </is>
      </c>
      <c r="I6" s="72" t="inlineStr">
        <is>
          <t>PASS</t>
        </is>
      </c>
      <c r="J6" s="70" t="inlineStr">
        <is>
          <t>M6,M7</t>
        </is>
      </c>
      <c r="K6" s="73" t="n"/>
    </row>
    <row r="7" ht="26.4" customHeight="1">
      <c r="A7" s="70" t="inlineStr">
        <is>
          <t>T-AUTH-03</t>
        </is>
      </c>
      <c r="B7" s="70" t="inlineStr">
        <is>
          <t>Autenticación</t>
        </is>
      </c>
      <c r="C7" s="71" t="inlineStr">
        <is>
          <t>Logout explícito</t>
        </is>
      </c>
      <c r="D7" s="70" t="inlineStr">
        <is>
          <t>Alta</t>
        </is>
      </c>
      <c r="E7" s="70" t="inlineStr">
        <is>
          <t>AUTOMATICA</t>
        </is>
      </c>
      <c r="F7" s="72" t="inlineStr">
        <is>
          <t>PASS</t>
        </is>
      </c>
      <c r="G7" s="72" t="inlineStr">
        <is>
          <t>PASS</t>
        </is>
      </c>
      <c r="H7" s="74" t="inlineStr">
        <is>
          <t>FAIL</t>
        </is>
      </c>
      <c r="I7" s="72" t="inlineStr">
        <is>
          <t>PASS</t>
        </is>
      </c>
      <c r="J7" s="70" t="inlineStr">
        <is>
          <t>M6,M7</t>
        </is>
      </c>
      <c r="K7" s="73" t="inlineStr">
        <is>
          <t xml:space="preserve">RUN 02: Inicio sesion pero luego no aparece el boton para cerrar sesion. Aparece en otras interfaces, no es visible siempre. </t>
        </is>
      </c>
    </row>
    <row r="8">
      <c r="A8" s="70" t="inlineStr">
        <is>
          <t>T-CAT-01</t>
        </is>
      </c>
      <c r="B8" s="70" t="inlineStr">
        <is>
          <t>Catálogo</t>
        </is>
      </c>
      <c r="C8" s="71" t="inlineStr">
        <is>
          <t>Listado de barcos</t>
        </is>
      </c>
      <c r="D8" s="70" t="inlineStr">
        <is>
          <t>Alta</t>
        </is>
      </c>
      <c r="E8" s="70" t="inlineStr">
        <is>
          <t>AUTOMATICA</t>
        </is>
      </c>
      <c r="F8" s="72" t="inlineStr">
        <is>
          <t>PASS</t>
        </is>
      </c>
      <c r="G8" s="72" t="inlineStr">
        <is>
          <t>PASS</t>
        </is>
      </c>
      <c r="H8" s="72" t="inlineStr">
        <is>
          <t>PASS</t>
        </is>
      </c>
      <c r="I8" s="72" t="inlineStr">
        <is>
          <t>PASS</t>
        </is>
      </c>
      <c r="J8" s="70" t="inlineStr">
        <is>
          <t>M6,M7</t>
        </is>
      </c>
      <c r="K8" s="73" t="n"/>
    </row>
    <row r="9">
      <c r="A9" s="70" t="inlineStr">
        <is>
          <t>T-CAT-02</t>
        </is>
      </c>
      <c r="B9" s="70" t="inlineStr">
        <is>
          <t>Catálogo</t>
        </is>
      </c>
      <c r="C9" s="71" t="inlineStr">
        <is>
          <t>Ficha de barco</t>
        </is>
      </c>
      <c r="D9" s="70" t="inlineStr">
        <is>
          <t>Alta</t>
        </is>
      </c>
      <c r="E9" s="70" t="inlineStr">
        <is>
          <t>AUTOMATICA</t>
        </is>
      </c>
      <c r="F9" s="72" t="inlineStr">
        <is>
          <t>PASS</t>
        </is>
      </c>
      <c r="G9" s="72" t="inlineStr">
        <is>
          <t>PASS</t>
        </is>
      </c>
      <c r="H9" s="72" t="inlineStr">
        <is>
          <t>PASS</t>
        </is>
      </c>
      <c r="I9" s="72" t="inlineStr">
        <is>
          <t>PASS</t>
        </is>
      </c>
      <c r="J9" s="70" t="inlineStr">
        <is>
          <t>M6,M7</t>
        </is>
      </c>
      <c r="K9" s="73" t="n"/>
    </row>
    <row r="10">
      <c r="A10" s="70" t="inlineStr">
        <is>
          <t>T-CAT-03</t>
        </is>
      </c>
      <c r="B10" s="70" t="inlineStr">
        <is>
          <t>Catálogo</t>
        </is>
      </c>
      <c r="C10" s="71" t="inlineStr">
        <is>
          <t>Búsqueda por nombre</t>
        </is>
      </c>
      <c r="D10" s="70" t="inlineStr">
        <is>
          <t>Alta</t>
        </is>
      </c>
      <c r="E10" s="70" t="inlineStr">
        <is>
          <t>AUTOMATICA</t>
        </is>
      </c>
      <c r="F10" s="72" t="inlineStr">
        <is>
          <t>PASS</t>
        </is>
      </c>
      <c r="G10" s="72" t="inlineStr">
        <is>
          <t>PASS</t>
        </is>
      </c>
      <c r="H10" s="72" t="inlineStr">
        <is>
          <t>PASS</t>
        </is>
      </c>
      <c r="I10" s="72" t="inlineStr">
        <is>
          <t>PASS</t>
        </is>
      </c>
      <c r="J10" s="70" t="inlineStr">
        <is>
          <t>M6,M7</t>
        </is>
      </c>
      <c r="K10" s="73" t="n"/>
    </row>
    <row r="11">
      <c r="A11" s="70" t="inlineStr">
        <is>
          <t>T-CAT-04</t>
        </is>
      </c>
      <c r="B11" s="70" t="inlineStr">
        <is>
          <t>Catálogo</t>
        </is>
      </c>
      <c r="C11" s="71" t="inlineStr">
        <is>
          <t>Filtro por puerto</t>
        </is>
      </c>
      <c r="D11" s="70" t="inlineStr">
        <is>
          <t>Media</t>
        </is>
      </c>
      <c r="E11" s="70" t="inlineStr">
        <is>
          <t>AUTOMATICA</t>
        </is>
      </c>
      <c r="F11" s="72" t="inlineStr">
        <is>
          <t>PASS</t>
        </is>
      </c>
      <c r="G11" s="72" t="inlineStr">
        <is>
          <t>PASS</t>
        </is>
      </c>
      <c r="H11" s="72" t="inlineStr">
        <is>
          <t>PASS</t>
        </is>
      </c>
      <c r="I11" s="72" t="inlineStr">
        <is>
          <t>PASS</t>
        </is>
      </c>
      <c r="J11" s="70" t="inlineStr">
        <is>
          <t>M6,M7</t>
        </is>
      </c>
      <c r="K11" s="73" t="n"/>
    </row>
    <row r="12">
      <c r="A12" s="70" t="inlineStr">
        <is>
          <t>T-CAT-05</t>
        </is>
      </c>
      <c r="B12" s="70" t="inlineStr">
        <is>
          <t>Catálogo</t>
        </is>
      </c>
      <c r="C12" s="71" t="inlineStr">
        <is>
          <t>Filtro por fabricante</t>
        </is>
      </c>
      <c r="D12" s="70" t="inlineStr">
        <is>
          <t>Media</t>
        </is>
      </c>
      <c r="E12" s="70" t="inlineStr">
        <is>
          <t>AUTOMATICA</t>
        </is>
      </c>
      <c r="F12" s="72" t="inlineStr">
        <is>
          <t>PASS</t>
        </is>
      </c>
      <c r="G12" s="72" t="inlineStr">
        <is>
          <t>PASS</t>
        </is>
      </c>
      <c r="H12" s="72" t="inlineStr">
        <is>
          <t>PASS</t>
        </is>
      </c>
      <c r="I12" s="72" t="inlineStr">
        <is>
          <t>PASS</t>
        </is>
      </c>
      <c r="J12" s="70" t="inlineStr">
        <is>
          <t>M6,M7</t>
        </is>
      </c>
      <c r="K12" s="73" t="n"/>
    </row>
    <row r="13">
      <c r="A13" s="70" t="inlineStr">
        <is>
          <t>T-CAT-06</t>
        </is>
      </c>
      <c r="B13" s="70" t="inlineStr">
        <is>
          <t>Catálogo</t>
        </is>
      </c>
      <c r="C13" s="71" t="inlineStr">
        <is>
          <t>Filtros combinados</t>
        </is>
      </c>
      <c r="D13" s="70" t="inlineStr">
        <is>
          <t>Alta</t>
        </is>
      </c>
      <c r="E13" s="70" t="inlineStr">
        <is>
          <t>AUTOMATICA</t>
        </is>
      </c>
      <c r="F13" s="72" t="inlineStr">
        <is>
          <t>PASS</t>
        </is>
      </c>
      <c r="G13" s="72" t="inlineStr">
        <is>
          <t>PASS</t>
        </is>
      </c>
      <c r="H13" s="72" t="inlineStr">
        <is>
          <t>PASS</t>
        </is>
      </c>
      <c r="I13" s="72" t="inlineStr">
        <is>
          <t>PASS</t>
        </is>
      </c>
      <c r="J13" s="70" t="inlineStr">
        <is>
          <t>M6,M7</t>
        </is>
      </c>
      <c r="K13" s="73" t="n"/>
    </row>
    <row r="14" ht="39.6" customHeight="1">
      <c r="A14" s="70" t="inlineStr">
        <is>
          <t>T-CAT-07</t>
        </is>
      </c>
      <c r="B14" s="70" t="inlineStr">
        <is>
          <t>Catálogo</t>
        </is>
      </c>
      <c r="C14" s="71" t="inlineStr">
        <is>
          <t>Disponibilidad por fechas</t>
        </is>
      </c>
      <c r="D14" s="70" t="inlineStr">
        <is>
          <t>Alta</t>
        </is>
      </c>
      <c r="E14" s="70" t="inlineStr">
        <is>
          <t>MANUAL</t>
        </is>
      </c>
      <c r="F14" s="72" t="inlineStr">
        <is>
          <t>PASS</t>
        </is>
      </c>
      <c r="G14" s="72" t="inlineStr">
        <is>
          <t>PASS</t>
        </is>
      </c>
      <c r="H14" s="72" t="inlineStr">
        <is>
          <t>PASS</t>
        </is>
      </c>
      <c r="I14" s="72" t="inlineStr">
        <is>
          <t>PASS</t>
        </is>
      </c>
      <c r="J14" s="70" t="inlineStr">
        <is>
          <t>M6,M7</t>
        </is>
      </c>
      <c r="K14" s="73" t="inlineStr">
        <is>
          <t xml:space="preserve">BASELINE: Suele contener toda la edicion para continuar, fechas , cantidad, y un detalle de los pagos conforme hace los cambios.
RUN 02: La colocacion de fechas esta dentro de los pasos de reserva. </t>
        </is>
      </c>
    </row>
    <row r="15">
      <c r="A15" s="70" t="inlineStr">
        <is>
          <t>T-CART-01</t>
        </is>
      </c>
      <c r="B15" s="70" t="inlineStr">
        <is>
          <t>Cesta</t>
        </is>
      </c>
      <c r="C15" s="71" t="inlineStr">
        <is>
          <t>Añadir barco a cesta</t>
        </is>
      </c>
      <c r="D15" s="70" t="inlineStr">
        <is>
          <t>Alta</t>
        </is>
      </c>
      <c r="E15" s="70" t="inlineStr">
        <is>
          <t>MANUAL</t>
        </is>
      </c>
      <c r="F15" s="72" t="inlineStr">
        <is>
          <t>PASS</t>
        </is>
      </c>
      <c r="G15" s="72" t="inlineStr">
        <is>
          <t>PASS</t>
        </is>
      </c>
      <c r="H15" s="72" t="inlineStr">
        <is>
          <t>PASS</t>
        </is>
      </c>
      <c r="I15" s="72" t="inlineStr">
        <is>
          <t>PASS</t>
        </is>
      </c>
      <c r="J15" s="70" t="inlineStr">
        <is>
          <t>M6,M7</t>
        </is>
      </c>
      <c r="K15" s="73" t="n"/>
    </row>
    <row r="16" ht="39.6" customHeight="1">
      <c r="A16" s="70" t="inlineStr">
        <is>
          <t>T-CART-02</t>
        </is>
      </c>
      <c r="B16" s="70" t="inlineStr">
        <is>
          <t>Cesta</t>
        </is>
      </c>
      <c r="C16" s="71" t="inlineStr">
        <is>
          <t>Modificar cantidad/fechas</t>
        </is>
      </c>
      <c r="D16" s="70" t="inlineStr">
        <is>
          <t>Alta</t>
        </is>
      </c>
      <c r="E16" s="70" t="inlineStr">
        <is>
          <t>MANUAL</t>
        </is>
      </c>
      <c r="F16" s="72" t="inlineStr">
        <is>
          <t>PASS</t>
        </is>
      </c>
      <c r="G16" s="72" t="inlineStr">
        <is>
          <t>PASS</t>
        </is>
      </c>
      <c r="H16" s="72" t="inlineStr">
        <is>
          <t>PASS</t>
        </is>
      </c>
      <c r="I16" s="72" t="inlineStr">
        <is>
          <t>PASS</t>
        </is>
      </c>
      <c r="J16" s="70" t="inlineStr">
        <is>
          <t>M6,M7</t>
        </is>
      </c>
      <c r="K16" s="73" t="inlineStr">
        <is>
          <t>RUN 01: Se modifica antes de enviar a la cesta, luego ya no se puede.
RUN 02: Editar fechas y cantidad estan separadas.
RUN 03: Separa dentro del proceso de reserva.</t>
        </is>
      </c>
    </row>
    <row r="17">
      <c r="A17" s="70" t="inlineStr">
        <is>
          <t>T-CART-03</t>
        </is>
      </c>
      <c r="B17" s="70" t="inlineStr">
        <is>
          <t>Cesta</t>
        </is>
      </c>
      <c r="C17" s="71" t="inlineStr">
        <is>
          <t>Cesta accesible</t>
        </is>
      </c>
      <c r="D17" s="70" t="inlineStr">
        <is>
          <t>Media</t>
        </is>
      </c>
      <c r="E17" s="70" t="inlineStr">
        <is>
          <t>AUTOMATICA</t>
        </is>
      </c>
      <c r="F17" s="72" t="inlineStr">
        <is>
          <t>PASS</t>
        </is>
      </c>
      <c r="G17" s="72" t="inlineStr">
        <is>
          <t>PASS</t>
        </is>
      </c>
      <c r="H17" s="72" t="inlineStr">
        <is>
          <t>PASS</t>
        </is>
      </c>
      <c r="I17" s="72" t="inlineStr">
        <is>
          <t>PASS</t>
        </is>
      </c>
      <c r="J17" s="70" t="inlineStr">
        <is>
          <t>M6,M7</t>
        </is>
      </c>
      <c r="K17" s="73" t="n"/>
    </row>
    <row r="18" ht="26.4" customHeight="1">
      <c r="A18" s="70" t="inlineStr">
        <is>
          <t>T-RES-01</t>
        </is>
      </c>
      <c r="B18" s="70" t="inlineStr">
        <is>
          <t>Reserva</t>
        </is>
      </c>
      <c r="C18" s="71" t="inlineStr">
        <is>
          <t>Reserva sin registro</t>
        </is>
      </c>
      <c r="D18" s="70" t="inlineStr">
        <is>
          <t>Alta</t>
        </is>
      </c>
      <c r="E18" s="70" t="inlineStr">
        <is>
          <t>MIXTA</t>
        </is>
      </c>
      <c r="F18" s="72" t="inlineStr">
        <is>
          <t>PASS</t>
        </is>
      </c>
      <c r="G18" s="72" t="inlineStr">
        <is>
          <t>PASS</t>
        </is>
      </c>
      <c r="H18" s="74" t="inlineStr">
        <is>
          <t>FAIL</t>
        </is>
      </c>
      <c r="I18" s="74" t="inlineStr">
        <is>
          <t>FAIL</t>
        </is>
      </c>
      <c r="J18" s="70" t="inlineStr">
        <is>
          <t>M6,M7</t>
        </is>
      </c>
      <c r="K18" s="73" t="inlineStr">
        <is>
          <t>RUN 02: GET /reserva/paso2/ HTTP/1.1 500
RUN 03: GET /reserva/paso2/ HTTP/1.1 500 Error de renderizado de template</t>
        </is>
      </c>
    </row>
    <row r="19" ht="26.4" customHeight="1">
      <c r="A19" s="70" t="inlineStr">
        <is>
          <t>T-RES-02</t>
        </is>
      </c>
      <c r="B19" s="70" t="inlineStr">
        <is>
          <t>Reserva</t>
        </is>
      </c>
      <c r="C19" s="71" t="inlineStr">
        <is>
          <t>Reserva con usuario registrado</t>
        </is>
      </c>
      <c r="D19" s="70" t="inlineStr">
        <is>
          <t>Alta</t>
        </is>
      </c>
      <c r="E19" s="70" t="inlineStr">
        <is>
          <t>MANUAL</t>
        </is>
      </c>
      <c r="F19" s="72" t="inlineStr">
        <is>
          <t>PASS</t>
        </is>
      </c>
      <c r="G19" s="72" t="inlineStr">
        <is>
          <t>PASS</t>
        </is>
      </c>
      <c r="H19" s="74" t="inlineStr">
        <is>
          <t>FAIL</t>
        </is>
      </c>
      <c r="I19" s="74" t="inlineStr">
        <is>
          <t>FAIL</t>
        </is>
      </c>
      <c r="J19" s="70" t="inlineStr">
        <is>
          <t>M6,M7</t>
        </is>
      </c>
      <c r="K19" s="73" t="inlineStr">
        <is>
          <t>RUN 02: GET /reserva/paso2/ HTTP/1.1 500
RUN 03: Error de renderizado de template</t>
        </is>
      </c>
    </row>
    <row r="20" ht="26.4" customHeight="1">
      <c r="A20" s="70" t="inlineStr">
        <is>
          <t>T-RES-03</t>
        </is>
      </c>
      <c r="B20" s="70" t="inlineStr">
        <is>
          <t>Reserva</t>
        </is>
      </c>
      <c r="C20" s="71" t="inlineStr">
        <is>
          <t>Checkout máximo tres pasos</t>
        </is>
      </c>
      <c r="D20" s="70" t="inlineStr">
        <is>
          <t>Alta</t>
        </is>
      </c>
      <c r="E20" s="70" t="inlineStr">
        <is>
          <t>MIXTA</t>
        </is>
      </c>
      <c r="F20" s="72" t="inlineStr">
        <is>
          <t>PASS</t>
        </is>
      </c>
      <c r="G20" s="72" t="inlineStr">
        <is>
          <t>PASS</t>
        </is>
      </c>
      <c r="H20" s="74" t="inlineStr">
        <is>
          <t>FAIL</t>
        </is>
      </c>
      <c r="I20" s="74" t="inlineStr">
        <is>
          <t>FAIL</t>
        </is>
      </c>
      <c r="J20" s="70" t="inlineStr">
        <is>
          <t>M6,M7</t>
        </is>
      </c>
      <c r="K20" s="73" t="inlineStr">
        <is>
          <t>RUN 02: No se puede comprobar debido al error anterior.
RUN 03: No se puede comprobar debido al error anterior.</t>
        </is>
      </c>
    </row>
    <row r="21" ht="110.4" customHeight="1">
      <c r="A21" s="70" t="inlineStr">
        <is>
          <t>T-RES-04</t>
        </is>
      </c>
      <c r="B21" s="70" t="inlineStr">
        <is>
          <t>Reserva</t>
        </is>
      </c>
      <c r="C21" s="71" t="inlineStr">
        <is>
          <t>Tasa combustible</t>
        </is>
      </c>
      <c r="D21" s="70" t="inlineStr">
        <is>
          <t>Media</t>
        </is>
      </c>
      <c r="E21" s="70" t="inlineStr">
        <is>
          <t>MIXTA</t>
        </is>
      </c>
      <c r="F21" s="72" t="inlineStr">
        <is>
          <t>PASS</t>
        </is>
      </c>
      <c r="G21" s="72" t="inlineStr">
        <is>
          <t>PASS</t>
        </is>
      </c>
      <c r="H21" s="74" t="inlineStr">
        <is>
          <t>FAIL</t>
        </is>
      </c>
      <c r="I21" s="72" t="inlineStr">
        <is>
          <t>PASS</t>
        </is>
      </c>
      <c r="J21" s="70" t="inlineStr">
        <is>
          <t>M6,M7</t>
        </is>
      </c>
      <c r="K21" s="73" t="inlineStr">
        <is>
          <t>BASELINE: Lo presenta detallado en el proceso de reserva según corresponda, el cliente sabe si pagar una tasa de combustible. 
RUN 01: La tasa de combustible viene implicitamente en el precio, no hay detalle del pago, parece que no estuviera considerado. Para el ADMIN las reservas si estan detallados y la tasa de combustible esta presente.
RUN 02: No se puede hacer reserva.
RUN 03: Al enviar un producto a la cesta se especificado si corresponde pagar una tasa de combustible. El precio esta especificado y desglosado.</t>
        </is>
      </c>
    </row>
    <row r="22" ht="26.4" customHeight="1">
      <c r="A22" s="70" t="inlineStr">
        <is>
          <t>T-PAY-01</t>
        </is>
      </c>
      <c r="B22" s="70" t="inlineStr">
        <is>
          <t>Pago</t>
        </is>
      </c>
      <c r="C22" s="71" t="inlineStr">
        <is>
          <t>Contra-reembolso</t>
        </is>
      </c>
      <c r="D22" s="70" t="inlineStr">
        <is>
          <t>Alta</t>
        </is>
      </c>
      <c r="E22" s="70" t="inlineStr">
        <is>
          <t>AUTOMATICA</t>
        </is>
      </c>
      <c r="F22" s="72" t="inlineStr">
        <is>
          <t>PASS</t>
        </is>
      </c>
      <c r="G22" s="72" t="inlineStr">
        <is>
          <t>PASS</t>
        </is>
      </c>
      <c r="H22" s="74" t="inlineStr">
        <is>
          <t>FAIL</t>
        </is>
      </c>
      <c r="I22" s="74" t="inlineStr">
        <is>
          <t>FAIL</t>
        </is>
      </c>
      <c r="J22" s="70" t="inlineStr">
        <is>
          <t>M6,M7</t>
        </is>
      </c>
      <c r="K22" s="73" t="inlineStr">
        <is>
          <t>RUN 02: No se puede completar la  reserva.
RUN 03: No se puede completar reserva</t>
        </is>
      </c>
    </row>
    <row r="23" ht="26.4" customHeight="1">
      <c r="A23" s="70" t="inlineStr">
        <is>
          <t>T-PAY-02</t>
        </is>
      </c>
      <c r="B23" s="70" t="inlineStr">
        <is>
          <t>Pago</t>
        </is>
      </c>
      <c r="C23" s="71" t="inlineStr">
        <is>
          <t>PayPal Sandbox visible</t>
        </is>
      </c>
      <c r="D23" s="70" t="inlineStr">
        <is>
          <t>Alta</t>
        </is>
      </c>
      <c r="E23" s="70" t="inlineStr">
        <is>
          <t>AUTOMATICA</t>
        </is>
      </c>
      <c r="F23" s="72" t="inlineStr">
        <is>
          <t>PASS</t>
        </is>
      </c>
      <c r="G23" s="72" t="inlineStr">
        <is>
          <t>PASS</t>
        </is>
      </c>
      <c r="H23" s="74" t="inlineStr">
        <is>
          <t>FAIL</t>
        </is>
      </c>
      <c r="I23" s="74" t="inlineStr">
        <is>
          <t>FAIL</t>
        </is>
      </c>
      <c r="J23" s="70" t="inlineStr">
        <is>
          <t>M6,M7</t>
        </is>
      </c>
      <c r="K23" s="73" t="inlineStr">
        <is>
          <t>RUN 02: No se puede completar la  reserva.
RUN 03: No se puede completar reserva</t>
        </is>
      </c>
    </row>
    <row r="24" ht="26.4" customHeight="1">
      <c r="A24" s="70" t="inlineStr">
        <is>
          <t>T-TRACK-01</t>
        </is>
      </c>
      <c r="B24" s="70" t="inlineStr">
        <is>
          <t>Seguimiento</t>
        </is>
      </c>
      <c r="C24" s="71" t="inlineStr">
        <is>
          <t>Código seguimiento generado</t>
        </is>
      </c>
      <c r="D24" s="70" t="inlineStr">
        <is>
          <t>Alta</t>
        </is>
      </c>
      <c r="E24" s="70" t="inlineStr">
        <is>
          <t>AUTOMATICA</t>
        </is>
      </c>
      <c r="F24" s="72" t="inlineStr">
        <is>
          <t>PASS</t>
        </is>
      </c>
      <c r="G24" s="72" t="inlineStr">
        <is>
          <t>PASS</t>
        </is>
      </c>
      <c r="H24" s="74" t="inlineStr">
        <is>
          <t>FAIL</t>
        </is>
      </c>
      <c r="I24" s="74" t="inlineStr">
        <is>
          <t>FAIL</t>
        </is>
      </c>
      <c r="J24" s="70" t="inlineStr">
        <is>
          <t>M6,M7</t>
        </is>
      </c>
      <c r="K24" s="73" t="inlineStr">
        <is>
          <t xml:space="preserve">RUN 02: No se puede completar la  reserva y tampoco hay alguna señal de que se pueda consultar la reserva con el codigo. </t>
        </is>
      </c>
    </row>
    <row r="25" ht="26.4" customHeight="1">
      <c r="A25" s="70" t="inlineStr">
        <is>
          <t>T-TRACK-02</t>
        </is>
      </c>
      <c r="B25" s="70" t="inlineStr">
        <is>
          <t>Seguimiento</t>
        </is>
      </c>
      <c r="C25" s="71" t="inlineStr">
        <is>
          <t>Consulta por código sin login</t>
        </is>
      </c>
      <c r="D25" s="70" t="inlineStr">
        <is>
          <t>Alta</t>
        </is>
      </c>
      <c r="E25" s="70" t="inlineStr">
        <is>
          <t>AUTOMATICA</t>
        </is>
      </c>
      <c r="F25" s="72" t="inlineStr">
        <is>
          <t>PASS</t>
        </is>
      </c>
      <c r="G25" s="72" t="inlineStr">
        <is>
          <t>PASS</t>
        </is>
      </c>
      <c r="H25" s="74" t="inlineStr">
        <is>
          <t>FAIL</t>
        </is>
      </c>
      <c r="I25" s="74" t="inlineStr">
        <is>
          <t>FAIL</t>
        </is>
      </c>
      <c r="J25" s="70" t="inlineStr">
        <is>
          <t>M6,M7</t>
        </is>
      </c>
      <c r="K25" s="73" t="inlineStr">
        <is>
          <t xml:space="preserve">RUN 02: No se puede completar la  reserva y tampoco hay alguna señal de que se pueda consultar la reserva con el codigo. </t>
        </is>
      </c>
    </row>
    <row r="26" ht="39.6" customHeight="1">
      <c r="A26" s="70" t="inlineStr">
        <is>
          <t>T-TRACK-03</t>
        </is>
      </c>
      <c r="B26" s="70" t="inlineStr">
        <is>
          <t>Seguimiento</t>
        </is>
      </c>
      <c r="C26" s="71" t="inlineStr">
        <is>
          <t>Cancelación sólo pendiente</t>
        </is>
      </c>
      <c r="D26" s="70" t="inlineStr">
        <is>
          <t>Media</t>
        </is>
      </c>
      <c r="E26" s="70" t="inlineStr">
        <is>
          <t>MANUAL</t>
        </is>
      </c>
      <c r="F26" s="74" t="inlineStr">
        <is>
          <t>FAIL</t>
        </is>
      </c>
      <c r="G26" s="72" t="inlineStr">
        <is>
          <t>PASS</t>
        </is>
      </c>
      <c r="H26" s="74" t="inlineStr">
        <is>
          <t>FAIL</t>
        </is>
      </c>
      <c r="I26" s="74" t="inlineStr">
        <is>
          <t>FAIL</t>
        </is>
      </c>
      <c r="J26" s="70" t="inlineStr">
        <is>
          <t>M6,M7</t>
        </is>
      </c>
      <c r="K26" s="73" t="inlineStr">
        <is>
          <t xml:space="preserve">Baseline:  Esto no esta implementado.
RUN 02: No se puede completar la  reserva y tampoco hay alguna señal de que se pueda consultar la reserva con el codigo.  </t>
        </is>
      </c>
    </row>
    <row r="27" ht="69.59999999999999" customHeight="1">
      <c r="A27" s="70" t="inlineStr">
        <is>
          <t>T-ADMIN-01</t>
        </is>
      </c>
      <c r="B27" s="70" t="inlineStr">
        <is>
          <t>Admin</t>
        </is>
      </c>
      <c r="C27" s="71" t="inlineStr">
        <is>
          <t>Acceso panel admin propio</t>
        </is>
      </c>
      <c r="D27" s="70" t="inlineStr">
        <is>
          <t>Alta</t>
        </is>
      </c>
      <c r="E27" s="70" t="inlineStr">
        <is>
          <t>AUTOMATICA</t>
        </is>
      </c>
      <c r="F27" s="72" t="inlineStr">
        <is>
          <t>PASS</t>
        </is>
      </c>
      <c r="G27" s="72" t="inlineStr">
        <is>
          <t>PASS</t>
        </is>
      </c>
      <c r="H27" s="74" t="inlineStr">
        <is>
          <t>FAIL</t>
        </is>
      </c>
      <c r="I27" s="74" t="inlineStr">
        <is>
          <t>FAIL</t>
        </is>
      </c>
      <c r="J27" s="70" t="inlineStr">
        <is>
          <t>M6,M7</t>
        </is>
      </c>
      <c r="K27" s="73" t="inlineStr">
        <is>
          <t>RUN 01: Dificil de acceder poque no especifica de manera sencilla las credenciales para acceder al panel de ADMIN.
RUN 02: No hay acceso al panel de admin.
RUN 03: No hay acceso al panel de admin. Error de resolución de URL en template</t>
        </is>
      </c>
    </row>
    <row r="28" ht="30" customHeight="1">
      <c r="A28" s="70" t="inlineStr">
        <is>
          <t>T-ADMIN-02</t>
        </is>
      </c>
      <c r="B28" s="70" t="inlineStr">
        <is>
          <t>Admin</t>
        </is>
      </c>
      <c r="C28" s="71" t="inlineStr">
        <is>
          <t>Gestión catálogo</t>
        </is>
      </c>
      <c r="D28" s="70" t="inlineStr">
        <is>
          <t>Alta</t>
        </is>
      </c>
      <c r="E28" s="70" t="inlineStr">
        <is>
          <t>AUTOMATICA</t>
        </is>
      </c>
      <c r="F28" s="72" t="inlineStr">
        <is>
          <t>PASS</t>
        </is>
      </c>
      <c r="G28" s="72" t="inlineStr">
        <is>
          <t>PASS</t>
        </is>
      </c>
      <c r="H28" s="74" t="inlineStr">
        <is>
          <t>FAIL</t>
        </is>
      </c>
      <c r="I28" s="74" t="inlineStr">
        <is>
          <t>FAIL</t>
        </is>
      </c>
      <c r="J28" s="70" t="inlineStr">
        <is>
          <t>M6,M7</t>
        </is>
      </c>
      <c r="K28" s="73" t="inlineStr">
        <is>
          <t>RUN 02: No hay panel de admin.
RUN 03: No hay panel de admin.</t>
        </is>
      </c>
    </row>
    <row r="29" ht="30" customHeight="1">
      <c r="A29" s="70" t="inlineStr">
        <is>
          <t>T-ADMIN-03</t>
        </is>
      </c>
      <c r="B29" s="70" t="inlineStr">
        <is>
          <t>Admin</t>
        </is>
      </c>
      <c r="C29" s="71" t="inlineStr">
        <is>
          <t>Gestión clientes</t>
        </is>
      </c>
      <c r="D29" s="70" t="inlineStr">
        <is>
          <t>Alta</t>
        </is>
      </c>
      <c r="E29" s="70" t="inlineStr">
        <is>
          <t>AUTOMATICA</t>
        </is>
      </c>
      <c r="F29" s="72" t="inlineStr">
        <is>
          <t>PASS</t>
        </is>
      </c>
      <c r="G29" s="72" t="inlineStr">
        <is>
          <t>PASS</t>
        </is>
      </c>
      <c r="H29" s="74" t="inlineStr">
        <is>
          <t>FAIL</t>
        </is>
      </c>
      <c r="I29" s="74" t="inlineStr">
        <is>
          <t>FAIL</t>
        </is>
      </c>
      <c r="J29" s="70" t="inlineStr">
        <is>
          <t>M6,M7</t>
        </is>
      </c>
      <c r="K29" s="73" t="inlineStr">
        <is>
          <t>RUN 02: No hay panel de admin.
RUN 03: No hay panel de admin.</t>
        </is>
      </c>
    </row>
    <row r="30" ht="30" customHeight="1">
      <c r="A30" s="70" t="inlineStr">
        <is>
          <t>T-ADMIN-04</t>
        </is>
      </c>
      <c r="B30" s="70" t="inlineStr">
        <is>
          <t>Admin</t>
        </is>
      </c>
      <c r="C30" s="71" t="inlineStr">
        <is>
          <t>Gestión reservas y estados</t>
        </is>
      </c>
      <c r="D30" s="70" t="inlineStr">
        <is>
          <t>Alta</t>
        </is>
      </c>
      <c r="E30" s="70" t="inlineStr">
        <is>
          <t>AUTOMATICA</t>
        </is>
      </c>
      <c r="F30" s="72" t="inlineStr">
        <is>
          <t>PASS</t>
        </is>
      </c>
      <c r="G30" s="72" t="inlineStr">
        <is>
          <t>PASS</t>
        </is>
      </c>
      <c r="H30" s="74" t="inlineStr">
        <is>
          <t>FAIL</t>
        </is>
      </c>
      <c r="I30" s="74" t="inlineStr">
        <is>
          <t>FAIL</t>
        </is>
      </c>
      <c r="J30" s="70" t="inlineStr">
        <is>
          <t>M6,M7</t>
        </is>
      </c>
      <c r="K30" s="73" t="inlineStr">
        <is>
          <t>RUN 02: No hay panel de admin.
RUN 03: No hay panel de admin.</t>
        </is>
      </c>
    </row>
    <row r="31" ht="30" customHeight="1">
      <c r="A31" s="70" t="inlineStr">
        <is>
          <t>T-ADMIN-05</t>
        </is>
      </c>
      <c r="B31" s="70" t="inlineStr">
        <is>
          <t>Admin</t>
        </is>
      </c>
      <c r="C31" s="71" t="inlineStr">
        <is>
          <t>Restricción eliminar cliente con reservas</t>
        </is>
      </c>
      <c r="D31" s="70" t="inlineStr">
        <is>
          <t>Alta</t>
        </is>
      </c>
      <c r="E31" s="70" t="inlineStr">
        <is>
          <t>AUTOMATICA</t>
        </is>
      </c>
      <c r="F31" s="72" t="inlineStr">
        <is>
          <t>PASS</t>
        </is>
      </c>
      <c r="G31" s="72" t="inlineStr">
        <is>
          <t>PASS</t>
        </is>
      </c>
      <c r="H31" s="74" t="inlineStr">
        <is>
          <t>FAIL</t>
        </is>
      </c>
      <c r="I31" s="74" t="inlineStr">
        <is>
          <t>FAIL</t>
        </is>
      </c>
      <c r="J31" s="70" t="inlineStr">
        <is>
          <t>M6,M7</t>
        </is>
      </c>
      <c r="K31" s="73" t="inlineStr">
        <is>
          <t>RUN 02: No hay panel de admin.
RUN 03: No hay panel de admin.</t>
        </is>
      </c>
    </row>
    <row r="33">
      <c r="A33" s="75" t="inlineStr">
        <is>
          <t>MÉTRICAS RESUMEN</t>
        </is>
      </c>
    </row>
    <row r="34">
      <c r="A34" s="10" t="inlineStr">
        <is>
          <t>Total tests</t>
        </is>
      </c>
      <c r="B34" s="76">
        <f>COUNTA(A5:A31)</f>
        <v/>
      </c>
    </row>
    <row r="35">
      <c r="A35" s="10" t="inlineStr">
        <is>
          <t>Tests pasados Baseline (PASS)</t>
        </is>
      </c>
      <c r="B35" s="76">
        <f>COUNTIF(F5:F31,"PASS")</f>
        <v/>
      </c>
    </row>
    <row r="36">
      <c r="A36" s="10" t="inlineStr">
        <is>
          <t>Tests pasados Run 01 (PASS)</t>
        </is>
      </c>
      <c r="B36" s="76">
        <f>COUNTIF(G5:G31,"PASS")</f>
        <v/>
      </c>
    </row>
    <row r="37">
      <c r="A37" s="10" t="inlineStr">
        <is>
          <t>Tests pasados Run 02 (PASS)</t>
        </is>
      </c>
      <c r="B37" s="76">
        <f>COUNTIF(H5:H31,"PASS")</f>
        <v/>
      </c>
    </row>
    <row r="38">
      <c r="A38" s="10" t="inlineStr">
        <is>
          <t>Tests pasados Run 03 (PASS)</t>
        </is>
      </c>
      <c r="B38" s="76">
        <f>COUNTIF(I5:I31,"PASS")</f>
        <v/>
      </c>
    </row>
    <row r="39">
      <c r="A39" s="10" t="inlineStr">
        <is>
          <t>M7 Baseline (%)</t>
        </is>
      </c>
      <c r="B39" s="77">
        <f>IF(B34&gt;0,B35/B34*100,0)</f>
        <v/>
      </c>
    </row>
    <row r="40">
      <c r="A40" s="10" t="inlineStr">
        <is>
          <t>M7 Run 01 (%)</t>
        </is>
      </c>
      <c r="B40" s="77">
        <f>IF(B34&gt;0,B36/B34*100,0)</f>
        <v/>
      </c>
    </row>
    <row r="41">
      <c r="A41" s="10" t="inlineStr">
        <is>
          <t>M7 Run 02 (%)</t>
        </is>
      </c>
      <c r="B41" s="77">
        <f>IF(B34&gt;0,B37/B34*100,0)</f>
        <v/>
      </c>
    </row>
    <row r="42">
      <c r="A42" s="10" t="inlineStr">
        <is>
          <t>M7 Run 03 (%)</t>
        </is>
      </c>
      <c r="B42" s="77">
        <f>IF(B34&gt;0,B38/B34*100,0)</f>
        <v/>
      </c>
    </row>
    <row r="45" ht="54" customHeight="1">
      <c r="A45" s="205" t="inlineStr">
        <is>
          <t>M6 IMPLEMENTATION RATE — Funcionalidades implementadas (manual)
Criterio M6. Para el cálculo de Implementation Rate solo se contabilizan como implementadas completas las funcionalidades marcadas como "Sí". Las funcionalidades marcadas como "No" o "Parcial" no suman en el numerador de M6. El valor "Parcial" se conserva como evidencia cualitativa para el análisis de VD2, pero no incrementa el porcentaje de implementación.</t>
        </is>
      </c>
    </row>
    <row r="46">
      <c r="A46" s="78" t="inlineStr">
        <is>
          <t>Funcionalidad</t>
        </is>
      </c>
      <c r="B46" s="5" t="inlineStr">
        <is>
          <t>Baseline</t>
        </is>
      </c>
      <c r="C46" s="5" t="inlineStr">
        <is>
          <t>Run 01</t>
        </is>
      </c>
      <c r="D46" s="5" t="inlineStr">
        <is>
          <t>Run 02</t>
        </is>
      </c>
      <c r="E46" s="5" t="inlineStr">
        <is>
          <t>Run 03</t>
        </is>
      </c>
    </row>
    <row r="47">
      <c r="A47" s="10" t="inlineStr">
        <is>
          <t>Registro de usuario</t>
        </is>
      </c>
      <c r="B47" s="6" t="inlineStr">
        <is>
          <t>Sí</t>
        </is>
      </c>
      <c r="C47" s="6" t="inlineStr">
        <is>
          <t>Sí</t>
        </is>
      </c>
      <c r="D47" s="6" t="inlineStr">
        <is>
          <t>Sí</t>
        </is>
      </c>
      <c r="E47" s="6" t="inlineStr">
        <is>
          <t>Sí</t>
        </is>
      </c>
    </row>
    <row r="48">
      <c r="A48" s="10" t="inlineStr">
        <is>
          <t>Login/logout</t>
        </is>
      </c>
      <c r="B48" s="6" t="inlineStr">
        <is>
          <t>Sí</t>
        </is>
      </c>
      <c r="C48" s="6" t="inlineStr">
        <is>
          <t>Sí</t>
        </is>
      </c>
      <c r="D48" s="6" t="inlineStr">
        <is>
          <t>Parcial</t>
        </is>
      </c>
      <c r="E48" s="6" t="inlineStr">
        <is>
          <t>Sí</t>
        </is>
      </c>
    </row>
    <row r="49">
      <c r="A49" s="10" t="inlineStr">
        <is>
          <t>Catálogo/listado</t>
        </is>
      </c>
      <c r="B49" s="6" t="inlineStr">
        <is>
          <t>Sí</t>
        </is>
      </c>
      <c r="C49" s="6" t="inlineStr">
        <is>
          <t>Sí</t>
        </is>
      </c>
      <c r="D49" s="6" t="inlineStr">
        <is>
          <t>Sí</t>
        </is>
      </c>
      <c r="E49" s="6" t="inlineStr">
        <is>
          <t>Sí</t>
        </is>
      </c>
    </row>
    <row r="50">
      <c r="A50" s="10" t="inlineStr">
        <is>
          <t>Búsqueda/filtrado</t>
        </is>
      </c>
      <c r="B50" s="6" t="inlineStr">
        <is>
          <t>Sí</t>
        </is>
      </c>
      <c r="C50" s="6" t="inlineStr">
        <is>
          <t>Sí</t>
        </is>
      </c>
      <c r="D50" s="6" t="inlineStr">
        <is>
          <t>Sí</t>
        </is>
      </c>
      <c r="E50" s="6" t="inlineStr">
        <is>
          <t>Sí</t>
        </is>
      </c>
    </row>
    <row r="51">
      <c r="A51" s="10" t="inlineStr">
        <is>
          <t>Selección fechas/disponibilidad</t>
        </is>
      </c>
      <c r="B51" s="6" t="inlineStr">
        <is>
          <t>Sí</t>
        </is>
      </c>
      <c r="C51" s="6" t="inlineStr">
        <is>
          <t>Sí</t>
        </is>
      </c>
      <c r="D51" s="6" t="inlineStr">
        <is>
          <t>Sí</t>
        </is>
      </c>
      <c r="E51" s="6" t="inlineStr">
        <is>
          <t>Sí</t>
        </is>
      </c>
    </row>
    <row r="52">
      <c r="A52" s="10" t="inlineStr">
        <is>
          <t>Checkout/reserva</t>
        </is>
      </c>
      <c r="B52" s="6" t="inlineStr">
        <is>
          <t>Sí</t>
        </is>
      </c>
      <c r="C52" s="6" t="inlineStr">
        <is>
          <t>Sí</t>
        </is>
      </c>
      <c r="D52" s="6" t="inlineStr">
        <is>
          <t>No</t>
        </is>
      </c>
      <c r="E52" s="6" t="inlineStr">
        <is>
          <t>No</t>
        </is>
      </c>
    </row>
    <row r="53">
      <c r="A53" s="10" t="inlineStr">
        <is>
          <t>Pago simulado</t>
        </is>
      </c>
      <c r="B53" s="6" t="inlineStr">
        <is>
          <t>Sí</t>
        </is>
      </c>
      <c r="C53" s="6" t="inlineStr">
        <is>
          <t>Sí</t>
        </is>
      </c>
      <c r="D53" s="6" t="inlineStr">
        <is>
          <t>No</t>
        </is>
      </c>
      <c r="E53" s="6" t="inlineStr">
        <is>
          <t>No</t>
        </is>
      </c>
    </row>
    <row r="54">
      <c r="A54" s="10" t="inlineStr">
        <is>
          <t>Panel administración</t>
        </is>
      </c>
      <c r="B54" s="6" t="inlineStr">
        <is>
          <t>Sí</t>
        </is>
      </c>
      <c r="C54" s="6" t="inlineStr">
        <is>
          <t>Sí</t>
        </is>
      </c>
      <c r="D54" s="6" t="inlineStr">
        <is>
          <t>No</t>
        </is>
      </c>
      <c r="E54" s="6" t="inlineStr">
        <is>
          <t>No</t>
        </is>
      </c>
    </row>
    <row r="55">
      <c r="A55" s="10" t="inlineStr">
        <is>
          <t>Gestión catálogo admin</t>
        </is>
      </c>
      <c r="B55" s="6" t="inlineStr">
        <is>
          <t>Sí</t>
        </is>
      </c>
      <c r="C55" s="6" t="inlineStr">
        <is>
          <t>Sí</t>
        </is>
      </c>
      <c r="D55" s="6" t="inlineStr">
        <is>
          <t>No</t>
        </is>
      </c>
      <c r="E55" s="6" t="inlineStr">
        <is>
          <t>No</t>
        </is>
      </c>
    </row>
    <row r="56">
      <c r="A56" s="10" t="inlineStr">
        <is>
          <t>Gestión reservas admin</t>
        </is>
      </c>
      <c r="B56" s="6" t="inlineStr">
        <is>
          <t>Sí</t>
        </is>
      </c>
      <c r="C56" s="6" t="inlineStr">
        <is>
          <t>Sí</t>
        </is>
      </c>
      <c r="D56" s="6" t="inlineStr">
        <is>
          <t>No</t>
        </is>
      </c>
      <c r="E56" s="6" t="inlineStr">
        <is>
          <t>No</t>
        </is>
      </c>
    </row>
    <row r="57">
      <c r="A57" s="79" t="inlineStr">
        <is>
          <t>N total</t>
        </is>
      </c>
      <c r="B57" s="7">
        <f>COUNTA(A47:A56)</f>
        <v/>
      </c>
      <c r="C57" s="7">
        <f>COUNTA(A47:A56)</f>
        <v/>
      </c>
      <c r="D57" s="7">
        <f>COUNTA(A47:A56)</f>
        <v/>
      </c>
      <c r="E57" s="7">
        <f>COUNTA(A47:A56)</f>
        <v/>
      </c>
    </row>
    <row r="58">
      <c r="A58" s="80" t="inlineStr">
        <is>
          <t>Implementadas completas ("Sí")</t>
        </is>
      </c>
      <c r="B58" s="7">
        <f>COUNTIF(B47:B56,"Sí")</f>
        <v/>
      </c>
      <c r="C58" s="7">
        <f>COUNTIF(C47:C56,"Sí")</f>
        <v/>
      </c>
      <c r="D58" s="7">
        <f>COUNTIF(D47:D56,"Sí")</f>
        <v/>
      </c>
      <c r="E58" s="7">
        <f>COUNTIF(E47:E56,"Sí")</f>
        <v/>
      </c>
    </row>
    <row r="59">
      <c r="A59" s="79" t="inlineStr">
        <is>
          <t>M6 (%) — completas / total</t>
        </is>
      </c>
      <c r="B59" s="8">
        <f>IF(B57&gt;0,B58/B57*100,0)</f>
        <v/>
      </c>
      <c r="C59" s="8">
        <f>IF(C57&gt;0,C58/C57*100,0)</f>
        <v/>
      </c>
      <c r="D59" s="8">
        <f>IF(D57&gt;0,D58/D57*100,0)</f>
        <v/>
      </c>
      <c r="E59" s="8">
        <f>IF(E57&gt;0,E58/E57*100,0)</f>
        <v/>
      </c>
    </row>
    <row r="61">
      <c r="A61" s="204" t="inlineStr">
        <is>
          <t>M-OPERATIVIDAD (0=no arranca, 1=arranca pero flujo incompleto, 2=arranca y flujo mínimo completo)</t>
        </is>
      </c>
    </row>
    <row r="62">
      <c r="A62" s="78" t="inlineStr">
        <is>
          <t>Caso</t>
        </is>
      </c>
      <c r="B62" s="78" t="inlineStr">
        <is>
          <t>M-operatividad (0/1/2)</t>
        </is>
      </c>
      <c r="C62" s="78" t="inlineStr">
        <is>
          <t>Evidencia</t>
        </is>
      </c>
    </row>
    <row r="63">
      <c r="A63" s="10" t="inlineStr">
        <is>
          <t>Baseline</t>
        </is>
      </c>
      <c r="B63" s="6" t="n">
        <v>2</v>
      </c>
      <c r="C63" s="81" t="inlineStr">
        <is>
          <t>Cumple con el PMV</t>
        </is>
      </c>
    </row>
    <row r="64">
      <c r="A64" s="10" t="inlineStr">
        <is>
          <t>Run 01</t>
        </is>
      </c>
      <c r="B64" s="6" t="n">
        <v>2</v>
      </c>
      <c r="C64" s="81" t="inlineStr">
        <is>
          <t>Cumple con el PMV</t>
        </is>
      </c>
    </row>
    <row r="65" ht="26.4" customHeight="1">
      <c r="A65" s="10" t="inlineStr">
        <is>
          <t>Run 02</t>
        </is>
      </c>
      <c r="B65" s="6" t="n">
        <v>1</v>
      </c>
      <c r="C65" s="81" t="inlineStr">
        <is>
          <t>El producto funciona pero no tiene todas las funcionalidades minimas.</t>
        </is>
      </c>
    </row>
    <row r="66" ht="26.4" customHeight="1">
      <c r="A66" s="10" t="inlineStr">
        <is>
          <t>Run 03</t>
        </is>
      </c>
      <c r="B66" s="6" t="n">
        <v>1</v>
      </c>
      <c r="C66" s="81" t="inlineStr">
        <is>
          <t>El producto funciona pero no tiene todas las funcionalidades minimas.</t>
        </is>
      </c>
    </row>
  </sheetData>
  <mergeCells count="4">
    <mergeCell ref="A2:K2"/>
    <mergeCell ref="A61:F61"/>
    <mergeCell ref="A1:K1"/>
    <mergeCell ref="A45:F45"/>
  </mergeCells>
  <dataValidations count="3">
    <dataValidation sqref="F5:I31" showDropDown="0" showInputMessage="0" showErrorMessage="0" allowBlank="1" type="list">
      <formula1>"PASS,FAIL,MANUAL,PARCIAL,SKIP,—"</formula1>
      <formula2>0</formula2>
    </dataValidation>
    <dataValidation sqref="B47:E56" showDropDown="0" showInputMessage="0" showErrorMessage="0" allowBlank="1" type="list">
      <formula1>"Sí,Parcial,No"</formula1>
      <formula2>0</formula2>
    </dataValidation>
    <dataValidation sqref="B63:B66" showDropDown="0" showInputMessage="0" showErrorMessage="0" allowBlank="1" type="list">
      <formula1>"0,1,2"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9"/>
  <sheetViews>
    <sheetView zoomScale="70" zoomScaleNormal="70" workbookViewId="0">
      <pane ySplit="4" topLeftCell="A5" activePane="bottomLeft" state="frozen"/>
      <selection pane="bottomLeft" activeCell="D44" sqref="D44"/>
    </sheetView>
  </sheetViews>
  <sheetFormatPr baseColWidth="10" defaultColWidth="8.6640625" defaultRowHeight="13.2"/>
  <cols>
    <col width="30.21875" customWidth="1" style="198" min="1" max="1"/>
    <col width="11.109375" customWidth="1" style="198" min="2" max="2"/>
    <col width="12.109375" customWidth="1" style="198" min="3" max="3"/>
    <col width="20" bestFit="1" customWidth="1" style="198" min="4" max="4"/>
    <col width="19.44140625" bestFit="1" customWidth="1" style="180" min="5" max="5"/>
    <col width="17.21875" customWidth="1" style="198" min="6" max="6"/>
    <col width="39.6640625" customWidth="1" style="209" min="7" max="7"/>
    <col width="12.77734375" bestFit="1" customWidth="1" style="198" min="8" max="8"/>
    <col width="3.5546875" bestFit="1" customWidth="1" style="198" min="9" max="9"/>
    <col width="50.109375" bestFit="1" customWidth="1" style="200" min="10" max="10"/>
    <col width="8.6640625" customWidth="1" style="200" min="11" max="16"/>
    <col width="8.6640625" customWidth="1" style="200" min="17" max="16384"/>
  </cols>
  <sheetData>
    <row r="1">
      <c r="A1" s="203" t="inlineStr">
        <is>
          <t>T1/T2/T3 — Tiempos y esfuerzo humano (H1: M17; auxiliares M15, M18; descriptiva M16)</t>
        </is>
      </c>
    </row>
    <row r="2">
      <c r="A2" s="197" t="inlineStr">
        <is>
          <t>Registra cada bloque temporal con fase, tipo y duración en minutos. T1 recoge ejecución automática IA (M16 descriptiva), T2 recoge esfuerzo humano/gate IA (M17) y T3 recoge tiempos baseline reconstruidos. M15 se lee como tiempo por fase/sprint; M18 resume iteraciones adicionales cuando exista evidencia.</t>
        </is>
      </c>
    </row>
    <row r="4" ht="92.40000000000001" customFormat="1" customHeight="1" s="16">
      <c r="A4" s="5" t="inlineStr">
        <is>
          <t>ID</t>
        </is>
      </c>
      <c r="B4" s="5" t="inlineStr">
        <is>
          <t>Caso</t>
        </is>
      </c>
      <c r="C4" s="5" t="inlineStr">
        <is>
          <t>Run</t>
        </is>
      </c>
      <c r="D4" s="5" t="inlineStr">
        <is>
          <t>Fase/Sprint/Gate</t>
        </is>
      </c>
      <c r="E4" s="5" t="inlineStr">
        <is>
          <t>Tipo tiempo</t>
        </is>
      </c>
      <c r="F4" s="5" t="inlineStr">
        <is>
          <t>Duración (min)</t>
        </is>
      </c>
      <c r="G4" s="5" t="inlineStr">
        <is>
          <t>Fuente</t>
        </is>
      </c>
      <c r="H4" s="5" t="inlineStr">
        <is>
          <t>Regla 7</t>
        </is>
      </c>
      <c r="I4" s="5" t="inlineStr">
        <is>
          <t>¿Cota 
inferior?</t>
        </is>
      </c>
      <c r="J4" s="5" t="inlineStr">
        <is>
          <t>Observaciones</t>
        </is>
      </c>
    </row>
    <row r="5" ht="92.40000000000001" customHeight="1">
      <c r="A5" s="57" t="inlineStr">
        <is>
          <t>T-B-01</t>
        </is>
      </c>
      <c r="B5" s="57" t="inlineStr">
        <is>
          <t>Baseline</t>
        </is>
      </c>
      <c r="C5" s="57" t="inlineStr">
        <is>
          <t>—</t>
        </is>
      </c>
      <c r="D5" s="57" t="inlineStr">
        <is>
          <t>Requisitos</t>
        </is>
      </c>
      <c r="E5" s="57" t="inlineStr">
        <is>
          <t>Elaboración humana</t>
        </is>
      </c>
      <c r="F5" s="6" t="n">
        <v>480</v>
      </c>
      <c r="G5" s="218" t="inlineStr">
        <is>
          <t>04_codigo\04a_casoBase\documentacion\INICIO\ACTA DE CONSTITUCIÓN.pdf + 04_codigo\04a_casoBase\documentacion\ACTAS\Acta Reunión semana 1.pdf + 04_codigo\04a_casoBase\documentacion\PLANIFICACIÓN\LINEAS BASE\LISTA DE HITOS.pdf</t>
        </is>
      </c>
      <c r="H5" s="6" t="inlineStr">
        <is>
          <t>Reconstruida</t>
        </is>
      </c>
      <c r="I5" s="6" t="inlineStr">
        <is>
          <t>No</t>
        </is>
      </c>
      <c r="J5" s="218" t="inlineStr">
        <is>
          <t>Inicio / acta inicial: 8 h de trabajo estimado. Fuente exacta completada desde documentaci?n baseline completa.</t>
        </is>
      </c>
    </row>
    <row r="6" ht="26.4" customHeight="1">
      <c r="A6" s="57" t="inlineStr">
        <is>
          <t>T-B-02</t>
        </is>
      </c>
      <c r="B6" s="57" t="inlineStr">
        <is>
          <t>Baseline</t>
        </is>
      </c>
      <c r="C6" s="57" t="inlineStr">
        <is>
          <t>—</t>
        </is>
      </c>
      <c r="D6" s="57" t="inlineStr">
        <is>
          <t>Planificación</t>
        </is>
      </c>
      <c r="E6" s="57" t="inlineStr">
        <is>
          <t>Elaboración humana</t>
        </is>
      </c>
      <c r="F6" s="6" t="n">
        <v>7680</v>
      </c>
      <c r="G6" s="218" t="inlineStr">
        <is>
          <t>04_codigo\04a_casoBase\documentacion\PLANIFICACIÓN\LINEAS BASE\CRONOGRAMA Y PRESUPUESTO.pdf + 04_codigo\04a_casoBase\documentacion\PLANIFICACIÓN\LINEAS BASE\DICCIONARIO DE LA EDT.pdf + 04_codigo\04a_casoBase\documentacion\PLANIFICACIÓN\LINEAS BASE\ATRIBUTOS DE ACTIVIDAD.pdf + 04_codigo\04a_casoBase\documentacion\PLANIFICACIÓN\PLANES\PLAN DE GESTION DEL CRONOGRAMA.pdf</t>
        </is>
      </c>
      <c r="H6" s="6" t="inlineStr">
        <is>
          <t>Reconstruida</t>
        </is>
      </c>
      <c r="I6" s="6" t="inlineStr">
        <is>
          <t>No</t>
        </is>
      </c>
      <c r="J6" s="218" t="inlineStr">
        <is>
          <t>Planificación general: 128 h. Fuente exacta completada desde documentaci?n baseline completa.</t>
        </is>
      </c>
    </row>
    <row r="7" ht="105.6" customHeight="1">
      <c r="A7" s="57" t="inlineStr">
        <is>
          <t>T-B-03</t>
        </is>
      </c>
      <c r="B7" s="57" t="inlineStr">
        <is>
          <t>Baseline</t>
        </is>
      </c>
      <c r="C7" s="57" t="inlineStr">
        <is>
          <t>—</t>
        </is>
      </c>
      <c r="D7" s="57" t="inlineStr">
        <is>
          <t>Sprint 1 — Desarrollo</t>
        </is>
      </c>
      <c r="E7" s="57" t="inlineStr">
        <is>
          <t>Elaboración humana</t>
        </is>
      </c>
      <c r="F7" s="6" t="n">
        <v>1920</v>
      </c>
      <c r="G7" s="218" t="inlineStr">
        <is>
          <t>04_codigo\04a_casoBase\documentacion\PLANIFICACIÓN\LINEAS BASE\CRONOGRAMA Y PRESUPUESTO.pdf + 04_codigo\04a_casoBase\documentacion\EJECUCIÓN\Sprint 1\Sprint 1 - Planning.pdf + 04_codigo\04a_casoBase\documentacion\EJECUCIÓN\Sprint 1\Sprint 1 - Product Backlog.pdf</t>
        </is>
      </c>
      <c r="H7" s="6" t="inlineStr">
        <is>
          <t>Reconstruida</t>
        </is>
      </c>
      <c r="I7" s="6" t="inlineStr">
        <is>
          <t>No</t>
        </is>
      </c>
      <c r="J7" s="218" t="inlineStr">
        <is>
          <t>Sprint 1 / Prototipo 1: 32 h. Fuente exacta completada desde documentaci?n baseline completa.</t>
        </is>
      </c>
    </row>
    <row r="8" ht="26.4" customHeight="1">
      <c r="A8" s="57" t="inlineStr">
        <is>
          <t>T-B-04</t>
        </is>
      </c>
      <c r="B8" s="57" t="inlineStr">
        <is>
          <t>Baseline</t>
        </is>
      </c>
      <c r="C8" s="57" t="inlineStr">
        <is>
          <t>—</t>
        </is>
      </c>
      <c r="D8" s="57" t="inlineStr">
        <is>
          <t>Sprint 1 — Revisión</t>
        </is>
      </c>
      <c r="E8" s="57" t="inlineStr">
        <is>
          <t>Revisión/gate</t>
        </is>
      </c>
      <c r="F8" s="6" t="n">
        <v>270</v>
      </c>
      <c r="G8" s="218" t="inlineStr">
        <is>
          <t>04_codigo\04a_casoBase\documentacion\ACTAS\Acta Reunión semana 1.pdf + 04_codigo\04a_casoBase\documentacion\ACTAS\Acta Reunión semana 3.pdf + 04_codigo\04a_casoBase\documentacion\ACTAS\Acta Reunión estimación de tareas y costes.pdf</t>
        </is>
      </c>
      <c r="H8" s="6" t="inlineStr">
        <is>
          <t>Reconstruida</t>
        </is>
      </c>
      <c r="I8" s="6" t="inlineStr">
        <is>
          <t>Sí</t>
        </is>
      </c>
      <c r="J8" s="218" t="inlineStr">
        <is>
          <t>Reuniones de equipo: semana 1, semana 3 y estimación (4,50 h). Fuente exacta completada desde documentaci?n baseline completa.</t>
        </is>
      </c>
    </row>
    <row r="9" ht="105.6" customHeight="1">
      <c r="A9" s="57" t="inlineStr">
        <is>
          <t>T-B-05</t>
        </is>
      </c>
      <c r="B9" s="57" t="inlineStr">
        <is>
          <t>Baseline</t>
        </is>
      </c>
      <c r="C9" s="57" t="inlineStr">
        <is>
          <t>—</t>
        </is>
      </c>
      <c r="D9" s="57" t="inlineStr">
        <is>
          <t>Sprint 2 — Desarrollo</t>
        </is>
      </c>
      <c r="E9" s="57" t="inlineStr">
        <is>
          <t>Elaboración humana</t>
        </is>
      </c>
      <c r="F9" s="6" t="n">
        <v>1680</v>
      </c>
      <c r="G9" s="218" t="inlineStr">
        <is>
          <t>04_codigo\04a_casoBase\documentacion\PLANIFICACIÓN\LINEAS BASE\CRONOGRAMA Y PRESUPUESTO.pdf + 04_codigo\04a_casoBase\documentacion\EJECUCIÓN\Sprint 2\Sprint 2 - Planning.pdf + 04_codigo\04a_casoBase\documentacion\EJECUCIÓN\Sprint 2\Sprint 2 - Product Backlog.pdf</t>
        </is>
      </c>
      <c r="H9" s="6" t="inlineStr">
        <is>
          <t>Reconstruida</t>
        </is>
      </c>
      <c r="I9" s="6" t="inlineStr">
        <is>
          <t>No</t>
        </is>
      </c>
      <c r="J9" s="218" t="inlineStr">
        <is>
          <t>Sprint 2 / Prototipo 2: 28 h. Fuente exacta completada desde documentaci?n baseline completa.</t>
        </is>
      </c>
    </row>
    <row r="10" ht="52.8" customHeight="1">
      <c r="A10" s="57" t="inlineStr">
        <is>
          <t>T-B-06</t>
        </is>
      </c>
      <c r="B10" s="57" t="inlineStr">
        <is>
          <t>Baseline</t>
        </is>
      </c>
      <c r="C10" s="57" t="inlineStr">
        <is>
          <t>—</t>
        </is>
      </c>
      <c r="D10" s="57" t="inlineStr">
        <is>
          <t>Sprint 2 — Revisión</t>
        </is>
      </c>
      <c r="E10" s="57" t="inlineStr">
        <is>
          <t>Revisión/gate</t>
        </is>
      </c>
      <c r="F10" s="6" t="n">
        <v>220</v>
      </c>
      <c r="G10" s="218" t="inlineStr">
        <is>
          <t>04_codigo\04a_casoBase\documentacion\ACTAS\Acta Patrocinador 1.pdf + 04_codigo\04a_casoBase\documentacion\ACTAS\Acta Patrocinador 2.pdf</t>
        </is>
      </c>
      <c r="H10" s="6" t="inlineStr">
        <is>
          <t>Reconstruida</t>
        </is>
      </c>
      <c r="I10" s="6" t="inlineStr">
        <is>
          <t>Sí</t>
        </is>
      </c>
      <c r="J10" s="218" t="inlineStr">
        <is>
          <t>Reuniones patrocinador 1 y 2 (3,67 h aprox.). Fuente exacta completada desde documentaci?n baseline completa.</t>
        </is>
      </c>
    </row>
    <row r="11" ht="26.4" customHeight="1">
      <c r="A11" s="57" t="inlineStr">
        <is>
          <t>T-B-07</t>
        </is>
      </c>
      <c r="B11" s="57" t="inlineStr">
        <is>
          <t>Baseline</t>
        </is>
      </c>
      <c r="C11" s="57" t="inlineStr">
        <is>
          <t>—</t>
        </is>
      </c>
      <c r="D11" s="57" t="inlineStr">
        <is>
          <t>Sprint 3 — Desarrollo</t>
        </is>
      </c>
      <c r="E11" s="57" t="inlineStr">
        <is>
          <t>Elaboración humana</t>
        </is>
      </c>
      <c r="F11" s="6" t="n">
        <v>1440</v>
      </c>
      <c r="G11" s="218" t="inlineStr">
        <is>
          <t>04_codigo\04a_casoBase\documentacion\PLANIFICACIÓN\LINEAS BASE\CRONOGRAMA Y PRESUPUESTO.pdf + 04_codigo\04a_casoBase\documentacion\EJECUCIÓN\Sprint 3\Sprint 3 - Planning.pdf + 04_codigo\04a_casoBase\documentacion\EJECUCIÓN\Sprint 3\Sprint 3 - Product Backlog.pdf + 04_codigo\04a_casoBase\documentacion\CIERRE\Manual de Despliegue en Docker.pdf</t>
        </is>
      </c>
      <c r="H11" s="6" t="inlineStr">
        <is>
          <t>Reconstruida</t>
        </is>
      </c>
      <c r="I11" s="6" t="inlineStr">
        <is>
          <t>No</t>
        </is>
      </c>
      <c r="J11" s="218" t="inlineStr">
        <is>
          <t>Sprint 3 / Prototipo 3: 24 h; incluye pruebas y manual/despliegue. Fuente exacta completada desde documentaci?n baseline completa.</t>
        </is>
      </c>
    </row>
    <row r="12" ht="52.8" customHeight="1">
      <c r="A12" s="57" t="inlineStr">
        <is>
          <t>T-B-08</t>
        </is>
      </c>
      <c r="B12" s="57" t="inlineStr">
        <is>
          <t>Baseline</t>
        </is>
      </c>
      <c r="C12" s="57" t="inlineStr">
        <is>
          <t>—</t>
        </is>
      </c>
      <c r="D12" s="57" t="inlineStr">
        <is>
          <t>Sprint 3 — Revisión</t>
        </is>
      </c>
      <c r="E12" s="57" t="inlineStr">
        <is>
          <t>Revisión/gate</t>
        </is>
      </c>
      <c r="F12" s="6" t="n">
        <v>220</v>
      </c>
      <c r="G12" s="218" t="inlineStr">
        <is>
          <t>04_codigo\04a_casoBase\documentacion\ACTAS\Acta Patrocinador 3.pdf + 04_codigo\04a_casoBase\documentacion\ACTAS\Acta Patrocinador 4.pdf</t>
        </is>
      </c>
      <c r="H12" s="6" t="inlineStr">
        <is>
          <t>Reconstruida</t>
        </is>
      </c>
      <c r="I12" s="6" t="inlineStr">
        <is>
          <t>Sí</t>
        </is>
      </c>
      <c r="J12" s="218" t="inlineStr">
        <is>
          <t>Reuniones patrocinador 3 y 4 (3,67 h aprox.). Fuente exacta completada desde documentaci?n baseline completa.</t>
        </is>
      </c>
    </row>
    <row r="13" ht="27" customHeight="1" thickBot="1">
      <c r="A13" s="58" t="inlineStr">
        <is>
          <t>T-B-09</t>
        </is>
      </c>
      <c r="B13" s="58" t="inlineStr">
        <is>
          <t>Baseline</t>
        </is>
      </c>
      <c r="C13" s="58" t="inlineStr">
        <is>
          <t>—</t>
        </is>
      </c>
      <c r="D13" s="58" t="inlineStr">
        <is>
          <t>Cierre — Lecciones/Informe</t>
        </is>
      </c>
      <c r="E13" s="58" t="inlineStr">
        <is>
          <t>Elaboración humana</t>
        </is>
      </c>
      <c r="F13" s="59" t="n">
        <v>1440</v>
      </c>
      <c r="G13" s="60" t="inlineStr">
        <is>
          <t>04_codigo\04a_casoBase\documentacion\CIERRE\Lecciones aprendidas.pdf + 04_codigo\04a_casoBase\documentacion\CIERRE\Informe de cierre.pdf + 04_codigo\04a_casoBase\documentacion\SEGUIMIENTO\Cierre\Informe de Seguimiento - Cierre.pdf + 04_codigo\04a_casoBase\documentacion\SEGUIMIENTO\Cierre\Valor Ganado Cierre.pdf</t>
        </is>
      </c>
      <c r="H13" s="59" t="inlineStr">
        <is>
          <t>Reconstruida</t>
        </is>
      </c>
      <c r="I13" s="59" t="inlineStr">
        <is>
          <t>No</t>
        </is>
      </c>
      <c r="J13" s="60" t="inlineStr">
        <is>
          <t>Seguimiento 16 h + cierre 8 h; manual ya incluido en Sprint 3. Fuente exacta completada desde documentaci?n baseline completa.</t>
        </is>
      </c>
    </row>
    <row r="14" ht="26.4" customHeight="1">
      <c r="A14" s="61" t="inlineStr">
        <is>
          <t>T-run_01-EJ-REQ</t>
        </is>
      </c>
      <c r="B14" s="61" t="inlineStr">
        <is>
          <t>Pipeline</t>
        </is>
      </c>
      <c r="C14" s="61" t="inlineStr">
        <is>
          <t>run_01</t>
        </is>
      </c>
      <c r="D14" s="61" t="inlineStr">
        <is>
          <t>Fase 01 Requisitos</t>
        </is>
      </c>
      <c r="E14" s="61" t="inlineStr">
        <is>
          <t>Ejecución automática</t>
        </is>
      </c>
      <c r="F14" s="62" t="n">
        <v>0.33</v>
      </c>
      <c r="G14" s="63" t="inlineStr">
        <is>
          <t>IA_OFICIAL_01/00_manifest/run_summary.json + manifest.json</t>
        </is>
      </c>
      <c r="H14" s="62" t="inlineStr">
        <is>
          <t>Original</t>
        </is>
      </c>
      <c r="I14" s="62" t="inlineStr">
        <is>
          <t>No</t>
        </is>
      </c>
      <c r="J14" s="63" t="inlineStr">
        <is>
          <t>run_id=run_2026-05-18_15-09; tiempos en segundos convertidos a minutos.</t>
        </is>
      </c>
    </row>
    <row r="15" ht="26.4" customHeight="1">
      <c r="A15" s="64" t="inlineStr">
        <is>
          <t>T-run_01-GA-REQ</t>
        </is>
      </c>
      <c r="B15" s="64" t="inlineStr">
        <is>
          <t>Pipeline</t>
        </is>
      </c>
      <c r="C15" s="64" t="inlineStr">
        <is>
          <t>run_01</t>
        </is>
      </c>
      <c r="D15" s="64" t="inlineStr">
        <is>
          <t>Gate 1 Requisitos</t>
        </is>
      </c>
      <c r="E15" s="64" t="inlineStr">
        <is>
          <t>Revisión/gate</t>
        </is>
      </c>
      <c r="F15" s="6" t="n">
        <v>19.51</v>
      </c>
      <c r="G15" s="218" t="inlineStr">
        <is>
          <t>IA_OFICIAL_01/00_manifest/run_summary.json + manifest.json</t>
        </is>
      </c>
      <c r="H15" s="6" t="inlineStr">
        <is>
          <t>Original</t>
        </is>
      </c>
      <c r="I15" s="6" t="inlineStr">
        <is>
          <t>No</t>
        </is>
      </c>
      <c r="J15" s="218" t="inlineStr">
        <is>
          <t>run_id=run_2026-05-18_15-09; tiempos en segundos convertidos a minutos.</t>
        </is>
      </c>
    </row>
    <row r="16" ht="26.4" customHeight="1">
      <c r="A16" s="64" t="inlineStr">
        <is>
          <t>T-run_01-EJ-PLAN</t>
        </is>
      </c>
      <c r="B16" s="64" t="inlineStr">
        <is>
          <t>Pipeline</t>
        </is>
      </c>
      <c r="C16" s="64" t="inlineStr">
        <is>
          <t>run_01</t>
        </is>
      </c>
      <c r="D16" s="64" t="inlineStr">
        <is>
          <t>Fase 02 Planificación</t>
        </is>
      </c>
      <c r="E16" s="64" t="inlineStr">
        <is>
          <t>Ejecución automática</t>
        </is>
      </c>
      <c r="F16" s="6" t="n">
        <v>1.01</v>
      </c>
      <c r="G16" s="218" t="inlineStr">
        <is>
          <t>IA_OFICIAL_01/00_manifest/run_summary.json + manifest.json</t>
        </is>
      </c>
      <c r="H16" s="6" t="inlineStr">
        <is>
          <t>Original</t>
        </is>
      </c>
      <c r="I16" s="6" t="inlineStr">
        <is>
          <t>No</t>
        </is>
      </c>
      <c r="J16" s="218" t="inlineStr">
        <is>
          <t>run_id=run_2026-05-18_15-09; tiempos en segundos convertidos a minutos.</t>
        </is>
      </c>
    </row>
    <row r="17" ht="26.4" customHeight="1">
      <c r="A17" s="64" t="inlineStr">
        <is>
          <t>T-run_01-GA-PLAN</t>
        </is>
      </c>
      <c r="B17" s="64" t="inlineStr">
        <is>
          <t>Pipeline</t>
        </is>
      </c>
      <c r="C17" s="64" t="inlineStr">
        <is>
          <t>run_01</t>
        </is>
      </c>
      <c r="D17" s="64" t="inlineStr">
        <is>
          <t>Gate 2 Planificación</t>
        </is>
      </c>
      <c r="E17" s="64" t="inlineStr">
        <is>
          <t>Revisión/gate</t>
        </is>
      </c>
      <c r="F17" s="6" t="n">
        <v>17.24</v>
      </c>
      <c r="G17" s="218" t="inlineStr">
        <is>
          <t>IA_OFICIAL_01/00_manifest/run_summary.json + manifest.json</t>
        </is>
      </c>
      <c r="H17" s="6" t="inlineStr">
        <is>
          <t>Original</t>
        </is>
      </c>
      <c r="I17" s="6" t="inlineStr">
        <is>
          <t>No</t>
        </is>
      </c>
      <c r="J17" s="218" t="inlineStr">
        <is>
          <t>run_id=run_2026-05-18_15-09; tiempos en segundos convertidos a minutos.</t>
        </is>
      </c>
    </row>
    <row r="18" ht="26.4" customHeight="1">
      <c r="A18" s="64" t="inlineStr">
        <is>
          <t>T-run_01-EJ-DIS</t>
        </is>
      </c>
      <c r="B18" s="64" t="inlineStr">
        <is>
          <t>Pipeline</t>
        </is>
      </c>
      <c r="C18" s="64" t="inlineStr">
        <is>
          <t>run_01</t>
        </is>
      </c>
      <c r="D18" s="64" t="inlineStr">
        <is>
          <t>Fase 03 Diseño</t>
        </is>
      </c>
      <c r="E18" s="64" t="inlineStr">
        <is>
          <t>Ejecución automática</t>
        </is>
      </c>
      <c r="F18" s="6" t="n">
        <v>0.62</v>
      </c>
      <c r="G18" s="218" t="inlineStr">
        <is>
          <t>IA_OFICIAL_01/00_manifest/run_summary.json + manifest.json</t>
        </is>
      </c>
      <c r="H18" s="6" t="inlineStr">
        <is>
          <t>Original</t>
        </is>
      </c>
      <c r="I18" s="6" t="inlineStr">
        <is>
          <t>No</t>
        </is>
      </c>
      <c r="J18" s="218" t="inlineStr">
        <is>
          <t>Arquitectura + scaffold; tiempos en segundos convertidos a minutos.</t>
        </is>
      </c>
    </row>
    <row r="19" ht="26.4" customHeight="1">
      <c r="A19" s="64" t="inlineStr">
        <is>
          <t>T-run_01-GA-DIS</t>
        </is>
      </c>
      <c r="B19" s="64" t="inlineStr">
        <is>
          <t>Pipeline</t>
        </is>
      </c>
      <c r="C19" s="64" t="inlineStr">
        <is>
          <t>run_01</t>
        </is>
      </c>
      <c r="D19" s="64" t="inlineStr">
        <is>
          <t>Gate 3 Diseño</t>
        </is>
      </c>
      <c r="E19" s="64" t="inlineStr">
        <is>
          <t>Revisión/gate</t>
        </is>
      </c>
      <c r="F19" s="6" t="n">
        <v>15.99</v>
      </c>
      <c r="G19" s="218" t="inlineStr">
        <is>
          <t>IA_OFICIAL_01/00_manifest/run_summary.json + manifest.json</t>
        </is>
      </c>
      <c r="H19" s="6" t="inlineStr">
        <is>
          <t>Original</t>
        </is>
      </c>
      <c r="I19" s="6" t="inlineStr">
        <is>
          <t>No</t>
        </is>
      </c>
      <c r="J19" s="218" t="inlineStr">
        <is>
          <t>run_id=run_2026-05-18_15-09; tiempos en segundos convertidos a minutos.</t>
        </is>
      </c>
    </row>
    <row r="20" ht="26.4" customHeight="1">
      <c r="A20" s="64" t="inlineStr">
        <is>
          <t>T-run_01-EJ-SP</t>
        </is>
      </c>
      <c r="B20" s="64" t="inlineStr">
        <is>
          <t>Pipeline</t>
        </is>
      </c>
      <c r="C20" s="64" t="inlineStr">
        <is>
          <t>run_01</t>
        </is>
      </c>
      <c r="D20" s="64" t="inlineStr">
        <is>
          <t>Sprints (ejecución)</t>
        </is>
      </c>
      <c r="E20" s="64" t="inlineStr">
        <is>
          <t>Ejecución automática</t>
        </is>
      </c>
      <c r="F20" s="6" t="n">
        <v>5.74</v>
      </c>
      <c r="G20" s="218" t="inlineStr">
        <is>
          <t>IA_OFICIAL_01/00_manifest/run_summary.json + manifest.json</t>
        </is>
      </c>
      <c r="H20" s="6" t="inlineStr">
        <is>
          <t>Original</t>
        </is>
      </c>
      <c r="I20" s="6" t="inlineStr">
        <is>
          <t>No</t>
        </is>
      </c>
      <c r="J20" s="218" t="inlineStr">
        <is>
          <t>Suma Sprint 1 + Sprint 2 + Sprint 3; tiempos en segundos convertidos a minutos.</t>
        </is>
      </c>
    </row>
    <row r="21" ht="27" customHeight="1" thickBot="1">
      <c r="A21" s="65" t="inlineStr">
        <is>
          <t>T-run_01-EJ-CIE</t>
        </is>
      </c>
      <c r="B21" s="65" t="inlineStr">
        <is>
          <t>Pipeline</t>
        </is>
      </c>
      <c r="C21" s="65" t="inlineStr">
        <is>
          <t>run_01</t>
        </is>
      </c>
      <c r="D21" s="65" t="inlineStr">
        <is>
          <t>Cierre</t>
        </is>
      </c>
      <c r="E21" s="65" t="inlineStr">
        <is>
          <t>Ejecución automática</t>
        </is>
      </c>
      <c r="F21" s="59" t="n">
        <v>0.09</v>
      </c>
      <c r="G21" s="60" t="inlineStr">
        <is>
          <t>IA_OFICIAL_01/00_manifest/run_summary.json + manifest.json</t>
        </is>
      </c>
      <c r="H21" s="59" t="inlineStr">
        <is>
          <t>Original</t>
        </is>
      </c>
      <c r="I21" s="59" t="inlineStr">
        <is>
          <t>No</t>
        </is>
      </c>
      <c r="J21" s="60" t="inlineStr">
        <is>
          <t>run_id=run_2026-05-18_15-09; tiempos en segundos convertidos a minutos.</t>
        </is>
      </c>
    </row>
    <row r="22" ht="26.4" customHeight="1">
      <c r="A22" s="61" t="inlineStr">
        <is>
          <t>T-run_02-EJ-REQ</t>
        </is>
      </c>
      <c r="B22" s="61" t="inlineStr">
        <is>
          <t>Pipeline</t>
        </is>
      </c>
      <c r="C22" s="61" t="inlineStr">
        <is>
          <t>run_02</t>
        </is>
      </c>
      <c r="D22" s="61" t="inlineStr">
        <is>
          <t>Fase 01 Requisitos</t>
        </is>
      </c>
      <c r="E22" s="61" t="inlineStr">
        <is>
          <t>Ejecución automática</t>
        </is>
      </c>
      <c r="F22" s="62" t="n">
        <v>0.32</v>
      </c>
      <c r="G22" s="63" t="inlineStr">
        <is>
          <t>IA_OFICIAL_02/00_manifest/run_summary.json + manifest.json</t>
        </is>
      </c>
      <c r="H22" s="62" t="inlineStr">
        <is>
          <t>Original</t>
        </is>
      </c>
      <c r="I22" s="62" t="inlineStr">
        <is>
          <t>No</t>
        </is>
      </c>
      <c r="J22" s="63" t="inlineStr">
        <is>
          <t>run_id=run_2026-05-18_16-37; tiempos en segundos convertidos a minutos.</t>
        </is>
      </c>
    </row>
    <row r="23" ht="26.4" customHeight="1">
      <c r="A23" s="64" t="inlineStr">
        <is>
          <t>T-run_02-GA-REQ</t>
        </is>
      </c>
      <c r="B23" s="64" t="inlineStr">
        <is>
          <t>Pipeline</t>
        </is>
      </c>
      <c r="C23" s="64" t="inlineStr">
        <is>
          <t>run_02</t>
        </is>
      </c>
      <c r="D23" s="64" t="inlineStr">
        <is>
          <t>Gate 1 Requisitos</t>
        </is>
      </c>
      <c r="E23" s="64" t="inlineStr">
        <is>
          <t>Revisión/gate</t>
        </is>
      </c>
      <c r="F23" s="6" t="n">
        <v>12.73</v>
      </c>
      <c r="G23" s="218" t="inlineStr">
        <is>
          <t>IA_OFICIAL_02/00_manifest/run_summary.json + manifest.json</t>
        </is>
      </c>
      <c r="H23" s="6" t="inlineStr">
        <is>
          <t>Original</t>
        </is>
      </c>
      <c r="I23" s="6" t="inlineStr">
        <is>
          <t>No</t>
        </is>
      </c>
      <c r="J23" s="218" t="inlineStr">
        <is>
          <t>run_id=run_2026-05-18_16-37; tiempos en segundos convertidos a minutos.</t>
        </is>
      </c>
    </row>
    <row r="24" ht="26.4" customHeight="1">
      <c r="A24" s="64" t="inlineStr">
        <is>
          <t>T-run_02-EJ-PLAN</t>
        </is>
      </c>
      <c r="B24" s="64" t="inlineStr">
        <is>
          <t>Pipeline</t>
        </is>
      </c>
      <c r="C24" s="64" t="inlineStr">
        <is>
          <t>run_02</t>
        </is>
      </c>
      <c r="D24" s="64" t="inlineStr">
        <is>
          <t>Fase 02 Planificación</t>
        </is>
      </c>
      <c r="E24" s="64" t="inlineStr">
        <is>
          <t>Ejecución automática</t>
        </is>
      </c>
      <c r="F24" s="6" t="n">
        <v>1.15</v>
      </c>
      <c r="G24" s="218" t="inlineStr">
        <is>
          <t>IA_OFICIAL_02/00_manifest/run_summary.json + manifest.json</t>
        </is>
      </c>
      <c r="H24" s="6" t="inlineStr">
        <is>
          <t>Original</t>
        </is>
      </c>
      <c r="I24" s="6" t="inlineStr">
        <is>
          <t>No</t>
        </is>
      </c>
      <c r="J24" s="218" t="inlineStr">
        <is>
          <t>run_id=run_2026-05-18_16-37; tiempos en segundos convertidos a minutos.</t>
        </is>
      </c>
    </row>
    <row r="25" ht="26.4" customHeight="1">
      <c r="A25" s="64" t="inlineStr">
        <is>
          <t>T-run_02-GA-PLAN</t>
        </is>
      </c>
      <c r="B25" s="64" t="inlineStr">
        <is>
          <t>Pipeline</t>
        </is>
      </c>
      <c r="C25" s="64" t="inlineStr">
        <is>
          <t>run_02</t>
        </is>
      </c>
      <c r="D25" s="64" t="inlineStr">
        <is>
          <t>Gate 2 Planificación</t>
        </is>
      </c>
      <c r="E25" s="64" t="inlineStr">
        <is>
          <t>Revisión/gate</t>
        </is>
      </c>
      <c r="F25" s="6" t="n">
        <v>22.76</v>
      </c>
      <c r="G25" s="218" t="inlineStr">
        <is>
          <t>IA_OFICIAL_02/00_manifest/run_summary.json + manifest.json</t>
        </is>
      </c>
      <c r="H25" s="6" t="inlineStr">
        <is>
          <t>Original</t>
        </is>
      </c>
      <c r="I25" s="6" t="inlineStr">
        <is>
          <t>No</t>
        </is>
      </c>
      <c r="J25" s="218" t="inlineStr">
        <is>
          <t>run_id=run_2026-05-18_16-37; tiempos en segundos convertidos a minutos.</t>
        </is>
      </c>
    </row>
    <row r="26" ht="26.4" customHeight="1">
      <c r="A26" s="64" t="inlineStr">
        <is>
          <t>T-run_02-EJ-DIS</t>
        </is>
      </c>
      <c r="B26" s="64" t="inlineStr">
        <is>
          <t>Pipeline</t>
        </is>
      </c>
      <c r="C26" s="64" t="inlineStr">
        <is>
          <t>run_02</t>
        </is>
      </c>
      <c r="D26" s="64" t="inlineStr">
        <is>
          <t>Fase 03 Diseño</t>
        </is>
      </c>
      <c r="E26" s="64" t="inlineStr">
        <is>
          <t>Ejecución automática</t>
        </is>
      </c>
      <c r="F26" s="6" t="n">
        <v>0.83</v>
      </c>
      <c r="G26" s="218" t="inlineStr">
        <is>
          <t>IA_OFICIAL_02/00_manifest/run_summary.json + manifest.json</t>
        </is>
      </c>
      <c r="H26" s="6" t="inlineStr">
        <is>
          <t>Original</t>
        </is>
      </c>
      <c r="I26" s="6" t="inlineStr">
        <is>
          <t>No</t>
        </is>
      </c>
      <c r="J26" s="218" t="inlineStr">
        <is>
          <t>Arquitectura + scaffold; tiempos en segundos convertidos a minutos.</t>
        </is>
      </c>
    </row>
    <row r="27" ht="39.6" customHeight="1">
      <c r="A27" s="64" t="inlineStr">
        <is>
          <t>T-run_02-GA-DIS</t>
        </is>
      </c>
      <c r="B27" s="64" t="inlineStr">
        <is>
          <t>Pipeline</t>
        </is>
      </c>
      <c r="C27" s="64" t="inlineStr">
        <is>
          <t>run_02</t>
        </is>
      </c>
      <c r="D27" s="64" t="inlineStr">
        <is>
          <t>Gate 3 Diseño</t>
        </is>
      </c>
      <c r="E27" s="64" t="inlineStr">
        <is>
          <t>Revisión/gate</t>
        </is>
      </c>
      <c r="F27" s="6" t="n">
        <v>161.31</v>
      </c>
      <c r="G27" s="218" t="inlineStr">
        <is>
          <t>IA_OFICIAL_02/00_manifest/run_summary.json + manifest.json</t>
        </is>
      </c>
      <c r="H27" s="6" t="inlineStr">
        <is>
          <t>Original</t>
        </is>
      </c>
      <c r="I27" s="6" t="inlineStr">
        <is>
          <t>No</t>
        </is>
      </c>
      <c r="J27" s="218" t="inlineStr">
        <is>
          <t>run_id=run_2026-05-18_16-37; tiempos en segundos convertidos a minutos. Arquitectura incluye 1 regeneración humana.</t>
        </is>
      </c>
    </row>
    <row r="28" ht="26.4" customHeight="1">
      <c r="A28" s="64" t="inlineStr">
        <is>
          <t>T-run_02-EJ-SP</t>
        </is>
      </c>
      <c r="B28" s="64" t="inlineStr">
        <is>
          <t>Pipeline</t>
        </is>
      </c>
      <c r="C28" s="64" t="inlineStr">
        <is>
          <t>run_02</t>
        </is>
      </c>
      <c r="D28" s="64" t="inlineStr">
        <is>
          <t>Sprints (ejecución)</t>
        </is>
      </c>
      <c r="E28" s="64" t="inlineStr">
        <is>
          <t>Ejecución automática</t>
        </is>
      </c>
      <c r="F28" s="6" t="n">
        <v>6.25</v>
      </c>
      <c r="G28" s="218" t="inlineStr">
        <is>
          <t>IA_OFICIAL_02/00_manifest/run_summary.json + manifest.json</t>
        </is>
      </c>
      <c r="H28" s="6" t="inlineStr">
        <is>
          <t>Original</t>
        </is>
      </c>
      <c r="I28" s="6" t="inlineStr">
        <is>
          <t>No</t>
        </is>
      </c>
      <c r="J28" s="218" t="inlineStr">
        <is>
          <t>Suma Sprint 1 + Sprint 2 + Sprint 3; tiempos en segundos convertidos a minutos.</t>
        </is>
      </c>
    </row>
    <row r="29" ht="27" customHeight="1" thickBot="1">
      <c r="A29" s="65" t="inlineStr">
        <is>
          <t>T-run_02-EJ-CIE</t>
        </is>
      </c>
      <c r="B29" s="65" t="inlineStr">
        <is>
          <t>Pipeline</t>
        </is>
      </c>
      <c r="C29" s="65" t="inlineStr">
        <is>
          <t>run_02</t>
        </is>
      </c>
      <c r="D29" s="65" t="inlineStr">
        <is>
          <t>Cierre</t>
        </is>
      </c>
      <c r="E29" s="65" t="inlineStr">
        <is>
          <t>Ejecución automática</t>
        </is>
      </c>
      <c r="F29" s="59" t="n">
        <v>0.09</v>
      </c>
      <c r="G29" s="60" t="inlineStr">
        <is>
          <t>IA_OFICIAL_02/00_manifest/run_summary.json + manifest.json</t>
        </is>
      </c>
      <c r="H29" s="59" t="inlineStr">
        <is>
          <t>Original</t>
        </is>
      </c>
      <c r="I29" s="59" t="inlineStr">
        <is>
          <t>No</t>
        </is>
      </c>
      <c r="J29" s="60" t="inlineStr">
        <is>
          <t>run_id=run_2026-05-18_16-37; tiempos en segundos convertidos a minutos.</t>
        </is>
      </c>
    </row>
    <row r="30" ht="26.4" customHeight="1">
      <c r="A30" s="61" t="inlineStr">
        <is>
          <t>T-run_03-EJ-REQ</t>
        </is>
      </c>
      <c r="B30" s="61" t="inlineStr">
        <is>
          <t>Pipeline</t>
        </is>
      </c>
      <c r="C30" s="61" t="inlineStr">
        <is>
          <t>run_03</t>
        </is>
      </c>
      <c r="D30" s="61" t="inlineStr">
        <is>
          <t>Fase 01 Requisitos</t>
        </is>
      </c>
      <c r="E30" s="61" t="inlineStr">
        <is>
          <t>Ejecución automática</t>
        </is>
      </c>
      <c r="F30" s="62" t="n">
        <v>0.33</v>
      </c>
      <c r="G30" s="63" t="inlineStr">
        <is>
          <t>IA_OFICIAL_03/00_manifest/run_summary.json + manifest.json</t>
        </is>
      </c>
      <c r="H30" s="62" t="inlineStr">
        <is>
          <t>Original</t>
        </is>
      </c>
      <c r="I30" s="62" t="inlineStr">
        <is>
          <t>No</t>
        </is>
      </c>
      <c r="J30" s="63" t="inlineStr">
        <is>
          <t>run_id=run_2026-05-19_02-15; tiempos en segundos convertidos a minutos.</t>
        </is>
      </c>
    </row>
    <row r="31" ht="26.4" customHeight="1">
      <c r="A31" s="64" t="inlineStr">
        <is>
          <t>T-run_03-GA-REQ</t>
        </is>
      </c>
      <c r="B31" s="64" t="inlineStr">
        <is>
          <t>Pipeline</t>
        </is>
      </c>
      <c r="C31" s="64" t="inlineStr">
        <is>
          <t>run_03</t>
        </is>
      </c>
      <c r="D31" s="64" t="inlineStr">
        <is>
          <t>Gate 1 Requisitos</t>
        </is>
      </c>
      <c r="E31" s="64" t="inlineStr">
        <is>
          <t>Revisión/gate</t>
        </is>
      </c>
      <c r="F31" s="6" t="n">
        <v>16.23</v>
      </c>
      <c r="G31" s="218" t="inlineStr">
        <is>
          <t>IA_OFICIAL_03/00_manifest/run_summary.json + manifest.json</t>
        </is>
      </c>
      <c r="H31" s="6" t="inlineStr">
        <is>
          <t>Original</t>
        </is>
      </c>
      <c r="I31" s="6" t="inlineStr">
        <is>
          <t>No</t>
        </is>
      </c>
      <c r="J31" s="218" t="inlineStr">
        <is>
          <t>run_id=run_2026-05-19_02-15; tiempos en segundos convertidos a minutos.</t>
        </is>
      </c>
    </row>
    <row r="32" ht="26.4" customHeight="1">
      <c r="A32" s="64" t="inlineStr">
        <is>
          <t>T-run_03-EJ-PLAN</t>
        </is>
      </c>
      <c r="B32" s="64" t="inlineStr">
        <is>
          <t>Pipeline</t>
        </is>
      </c>
      <c r="C32" s="64" t="inlineStr">
        <is>
          <t>run_03</t>
        </is>
      </c>
      <c r="D32" s="64" t="inlineStr">
        <is>
          <t>Fase 02 Planificación</t>
        </is>
      </c>
      <c r="E32" s="64" t="inlineStr">
        <is>
          <t>Ejecución automática</t>
        </is>
      </c>
      <c r="F32" s="6" t="n">
        <v>1.13</v>
      </c>
      <c r="G32" s="218" t="inlineStr">
        <is>
          <t>IA_OFICIAL_03/00_manifest/run_summary.json + manifest.json</t>
        </is>
      </c>
      <c r="H32" s="6" t="inlineStr">
        <is>
          <t>Original</t>
        </is>
      </c>
      <c r="I32" s="6" t="inlineStr">
        <is>
          <t>No</t>
        </is>
      </c>
      <c r="J32" s="218" t="inlineStr">
        <is>
          <t>run_id=run_2026-05-19_02-15; tiempos en segundos convertidos a minutos.</t>
        </is>
      </c>
    </row>
    <row r="33" ht="26.4" customHeight="1">
      <c r="A33" s="64" t="inlineStr">
        <is>
          <t>T-run_03-GA-PLAN</t>
        </is>
      </c>
      <c r="B33" s="64" t="inlineStr">
        <is>
          <t>Pipeline</t>
        </is>
      </c>
      <c r="C33" s="64" t="inlineStr">
        <is>
          <t>run_03</t>
        </is>
      </c>
      <c r="D33" s="64" t="inlineStr">
        <is>
          <t>Gate 2 Planificación</t>
        </is>
      </c>
      <c r="E33" s="64" t="inlineStr">
        <is>
          <t>Revisión/gate</t>
        </is>
      </c>
      <c r="F33" s="6" t="n">
        <v>10.14</v>
      </c>
      <c r="G33" s="218" t="inlineStr">
        <is>
          <t>IA_OFICIAL_03/00_manifest/run_summary.json + manifest.json</t>
        </is>
      </c>
      <c r="H33" s="6" t="inlineStr">
        <is>
          <t>Original</t>
        </is>
      </c>
      <c r="I33" s="6" t="inlineStr">
        <is>
          <t>No</t>
        </is>
      </c>
      <c r="J33" s="218" t="inlineStr">
        <is>
          <t>run_id=run_2026-05-19_02-15; tiempos en segundos convertidos a minutos.</t>
        </is>
      </c>
    </row>
    <row r="34" ht="26.4" customHeight="1">
      <c r="A34" s="64" t="inlineStr">
        <is>
          <t>T-run_03-EJ-DIS</t>
        </is>
      </c>
      <c r="B34" s="64" t="inlineStr">
        <is>
          <t>Pipeline</t>
        </is>
      </c>
      <c r="C34" s="64" t="inlineStr">
        <is>
          <t>run_03</t>
        </is>
      </c>
      <c r="D34" s="64" t="inlineStr">
        <is>
          <t>Fase 03 Diseño</t>
        </is>
      </c>
      <c r="E34" s="64" t="inlineStr">
        <is>
          <t>Ejecución automática</t>
        </is>
      </c>
      <c r="F34" s="6" t="n">
        <v>0.6</v>
      </c>
      <c r="G34" s="218" t="inlineStr">
        <is>
          <t>IA_OFICIAL_03/00_manifest/run_summary.json + manifest.json</t>
        </is>
      </c>
      <c r="H34" s="6" t="inlineStr">
        <is>
          <t>Original</t>
        </is>
      </c>
      <c r="I34" s="6" t="inlineStr">
        <is>
          <t>No</t>
        </is>
      </c>
      <c r="J34" s="218" t="inlineStr">
        <is>
          <t>Arquitectura + scaffold; tiempos en segundos convertidos a minutos.</t>
        </is>
      </c>
    </row>
    <row r="35" ht="26.4" customHeight="1">
      <c r="A35" s="64" t="inlineStr">
        <is>
          <t>T-run_03-GA-DIS</t>
        </is>
      </c>
      <c r="B35" s="64" t="inlineStr">
        <is>
          <t>Pipeline</t>
        </is>
      </c>
      <c r="C35" s="64" t="inlineStr">
        <is>
          <t>run_03</t>
        </is>
      </c>
      <c r="D35" s="64" t="inlineStr">
        <is>
          <t>Gate 3 Diseño</t>
        </is>
      </c>
      <c r="E35" s="64" t="inlineStr">
        <is>
          <t>Revisión/gate</t>
        </is>
      </c>
      <c r="F35" s="6" t="n">
        <v>11.99</v>
      </c>
      <c r="G35" s="218" t="inlineStr">
        <is>
          <t>IA_OFICIAL_03/00_manifest/run_summary.json + manifest.json</t>
        </is>
      </c>
      <c r="H35" s="6" t="inlineStr">
        <is>
          <t>Original</t>
        </is>
      </c>
      <c r="I35" s="6" t="inlineStr">
        <is>
          <t>No</t>
        </is>
      </c>
      <c r="J35" s="218" t="inlineStr">
        <is>
          <t>run_id=run_2026-05-19_02-15; tiempos en segundos convertidos a minutos.</t>
        </is>
      </c>
    </row>
    <row r="36" ht="26.4" customHeight="1">
      <c r="A36" s="64" t="inlineStr">
        <is>
          <t>T-run_03-EJ-SP</t>
        </is>
      </c>
      <c r="B36" s="64" t="inlineStr">
        <is>
          <t>Pipeline</t>
        </is>
      </c>
      <c r="C36" s="64" t="inlineStr">
        <is>
          <t>run_03</t>
        </is>
      </c>
      <c r="D36" s="64" t="inlineStr">
        <is>
          <t>Sprints (ejecución)</t>
        </is>
      </c>
      <c r="E36" s="64" t="inlineStr">
        <is>
          <t>Ejecución automática</t>
        </is>
      </c>
      <c r="F36" s="6" t="n">
        <v>5.88</v>
      </c>
      <c r="G36" s="218" t="inlineStr">
        <is>
          <t>IA_OFICIAL_03/00_manifest/run_summary.json + manifest.json</t>
        </is>
      </c>
      <c r="H36" s="6" t="inlineStr">
        <is>
          <t>Original</t>
        </is>
      </c>
      <c r="I36" s="6" t="inlineStr">
        <is>
          <t>No</t>
        </is>
      </c>
      <c r="J36" s="218" t="inlineStr">
        <is>
          <t>Suma Sprint 1 + Sprint 2 + Sprint 3; tiempos en segundos convertidos a minutos.</t>
        </is>
      </c>
    </row>
    <row r="37" ht="26.4" customHeight="1">
      <c r="A37" s="64" t="inlineStr">
        <is>
          <t>T-run_03-EJ-CIE</t>
        </is>
      </c>
      <c r="B37" s="64" t="inlineStr">
        <is>
          <t>Pipeline</t>
        </is>
      </c>
      <c r="C37" s="64" t="inlineStr">
        <is>
          <t>run_03</t>
        </is>
      </c>
      <c r="D37" s="64" t="inlineStr">
        <is>
          <t>Cierre</t>
        </is>
      </c>
      <c r="E37" s="64" t="inlineStr">
        <is>
          <t>Ejecución automática</t>
        </is>
      </c>
      <c r="F37" s="6" t="n">
        <v>0.11</v>
      </c>
      <c r="G37" s="218" t="inlineStr">
        <is>
          <t>IA_OFICIAL_03/00_manifest/run_summary.json + manifest.json</t>
        </is>
      </c>
      <c r="H37" s="6" t="inlineStr">
        <is>
          <t>Original</t>
        </is>
      </c>
      <c r="I37" s="6" t="inlineStr">
        <is>
          <t>No</t>
        </is>
      </c>
      <c r="J37" s="218" t="inlineStr">
        <is>
          <t>run_id=run_2026-05-19_02-15; tiempos en segundos convertidos a minutos.</t>
        </is>
      </c>
    </row>
    <row r="40">
      <c r="A40" s="204" t="inlineStr">
        <is>
          <t>AGREGADOS H1</t>
        </is>
      </c>
    </row>
    <row r="41" ht="39.6" customHeight="1">
      <c r="A41" s="5" t="inlineStr">
        <is>
          <t>Concepto</t>
        </is>
      </c>
      <c r="B41" s="5" t="inlineStr">
        <is>
          <t>Baseline (min)</t>
        </is>
      </c>
      <c r="C41" s="5" t="inlineStr">
        <is>
          <t>Pipeline run_01</t>
        </is>
      </c>
      <c r="D41" s="5" t="inlineStr">
        <is>
          <t>Pipeline run_02</t>
        </is>
      </c>
      <c r="E41" s="5" t="inlineStr">
        <is>
          <t>Pipeline run_03</t>
        </is>
      </c>
      <c r="F41" s="5" t="inlineStr">
        <is>
          <t>Pipeline media</t>
        </is>
      </c>
    </row>
    <row r="42" ht="39.6" customHeight="1">
      <c r="A42" s="10" t="inlineStr">
        <is>
          <t>M16 — Tiempo activo de elaboración IA por fase (descriptiva, no contrasta H1)</t>
        </is>
      </c>
      <c r="B42" s="10" t="inlineStr">
        <is>
          <t>?</t>
        </is>
      </c>
      <c r="C42" s="12">
        <f>SUMIFS(F5:F37,B5:B37,"Pipeline",C5:C37,"run_01",E5:E37,"Ejecución automática")</f>
        <v/>
      </c>
      <c r="D42" s="12">
        <f>SUMIFS(F5:F37,B5:B37,"Pipeline",C5:C37,"run_02",E5:E37,"Ejecución automática")</f>
        <v/>
      </c>
      <c r="E42" s="12">
        <f>SUMIFS(F5:F37,B5:B37,"Pipeline",C5:C37,"run_03",E5:E37,"Ejecución automática")</f>
        <v/>
      </c>
      <c r="F42" s="12">
        <f>AVERAGE(C42:E42)</f>
        <v/>
      </c>
    </row>
    <row r="43" ht="26.4" customHeight="1">
      <c r="A43" s="10" t="inlineStr">
        <is>
          <t>M17 — Esfuerzo humano de supervisión/gate</t>
        </is>
      </c>
      <c r="B43" s="12">
        <f>SUMIFS(F5:F37,B5:B37,"Baseline",E5:E37,"Revisión/gate")</f>
        <v/>
      </c>
      <c r="C43" s="66">
        <f>SUMIFS(F5:F37,B5:B37,"Pipeline",C5:C37,"run_01",E5:E37,"Revisión/gate")</f>
        <v/>
      </c>
      <c r="D43" s="12">
        <f>SUMIFS(F5:F37,B5:B37,"Pipeline",C5:C37,"run_02",E5:E37,"Revisión/gate")</f>
        <v/>
      </c>
      <c r="E43" s="12">
        <f>SUMIFS(F5:F37,B5:B37,"Pipeline",C5:C37,"run_03",E5:E37,"Revisión/gate")</f>
        <v/>
      </c>
      <c r="F43" s="12">
        <f>AVERAGE(C43:E43)</f>
        <v/>
      </c>
    </row>
    <row r="44" ht="39.6" customHeight="1">
      <c r="A44" s="10" t="inlineStr">
        <is>
          <t>M15 — Tiempo humano de elaboración baseline (contexto por fase/sprint)</t>
        </is>
      </c>
      <c r="B44" s="12">
        <f>SUMIFS(F5:F37,B5:B37,"Baseline",E5:E37,"Elaboración humana")</f>
        <v/>
      </c>
      <c r="C44" s="10" t="inlineStr">
        <is>
          <t>?</t>
        </is>
      </c>
      <c r="D44" s="10" t="inlineStr">
        <is>
          <t>?</t>
        </is>
      </c>
      <c r="E44" s="10" t="inlineStr">
        <is>
          <t>?</t>
        </is>
      </c>
      <c r="F44" s="10" t="inlineStr">
        <is>
          <t>?</t>
        </is>
      </c>
    </row>
    <row r="45" ht="26.4" customHeight="1">
      <c r="A45" s="67" t="inlineStr">
        <is>
          <t>TOTAL M17 — Baseline (solo revisión/gate)</t>
        </is>
      </c>
      <c r="B45" s="12">
        <f>B43</f>
        <v/>
      </c>
      <c r="C45" s="10" t="inlineStr">
        <is>
          <t>?</t>
        </is>
      </c>
      <c r="D45" s="10" t="inlineStr">
        <is>
          <t>?</t>
        </is>
      </c>
      <c r="E45" s="10" t="inlineStr">
        <is>
          <t>?</t>
        </is>
      </c>
      <c r="F45" s="10" t="inlineStr">
        <is>
          <t>?</t>
        </is>
      </c>
    </row>
    <row r="46" ht="26.4" customHeight="1">
      <c r="A46" s="67" t="inlineStr">
        <is>
          <t>TOTAL M17 — Pipeline (solo revisión/gate)</t>
        </is>
      </c>
      <c r="B46" s="10" t="inlineStr">
        <is>
          <t>?</t>
        </is>
      </c>
      <c r="C46" s="12">
        <f>C43</f>
        <v/>
      </c>
      <c r="D46" s="12">
        <f>D43</f>
        <v/>
      </c>
      <c r="E46" s="12">
        <f>E43</f>
        <v/>
      </c>
      <c r="F46" s="12">
        <f>AVERAGE(C46:E46)</f>
        <v/>
      </c>
    </row>
    <row r="47" ht="26.4" customHeight="1">
      <c r="A47" s="10" t="inlineStr">
        <is>
          <t>Diferencia M17 (pipeline - baseline)</t>
        </is>
      </c>
      <c r="B47" s="68" t="n"/>
      <c r="C47" s="12">
        <f>C46-B45</f>
        <v/>
      </c>
      <c r="D47" s="12">
        <f>D46-B45</f>
        <v/>
      </c>
      <c r="E47" s="12">
        <f>E46-B45</f>
        <v/>
      </c>
      <c r="F47" s="12">
        <f>F46-B45</f>
        <v/>
      </c>
    </row>
    <row r="48" ht="26.4" customHeight="1">
      <c r="A48" s="10" t="inlineStr">
        <is>
          <t>% Diferencia M17 respecto a baseline</t>
        </is>
      </c>
      <c r="B48" s="68" t="n"/>
      <c r="C48" s="13">
        <f>IF(B45&gt;0,(C46-B45)/B45*100,0)</f>
        <v/>
      </c>
      <c r="D48" s="13">
        <f>IF(B45&gt;0,(D46-B45)/B45*100,0)</f>
        <v/>
      </c>
      <c r="E48" s="13">
        <f>IF(B45&gt;0,(E46-B45)/B45*100,0)</f>
        <v/>
      </c>
      <c r="F48" s="13">
        <f>IF(B45&gt;0,(F46-B45)/B45*100,0)</f>
        <v/>
      </c>
    </row>
    <row r="49" ht="39.6" customHeight="1">
      <c r="A49" s="206" t="inlineStr">
        <is>
          <t>VEREDICTO H1 (M17: esfuerzo humano directo)</t>
        </is>
      </c>
      <c r="B49" s="207" t="n"/>
      <c r="C49" s="207" t="n"/>
      <c r="D49" s="207" t="n"/>
      <c r="E49" s="208" t="n"/>
      <c r="F49" s="69">
        <f>IF(F48&lt;=-20,"CONFIRMADA",IF(F48&lt;0,"PARCIALMENTE SOSTENIDA","RECHAZADA"))</f>
        <v/>
      </c>
    </row>
  </sheetData>
  <mergeCells count="4">
    <mergeCell ref="A49:E49"/>
    <mergeCell ref="A1:J1"/>
    <mergeCell ref="A40:D40"/>
    <mergeCell ref="A2:J2"/>
  </mergeCells>
  <dataValidations count="3">
    <dataValidation sqref="E5:E37" showDropDown="0" showInputMessage="0" showErrorMessage="0" allowBlank="1" type="list">
      <formula1>"Elaboración humana,Ejecución automática,Revisión/gate,Reunión,Retrabajo,Diseño pipeline (excluido H1)"</formula1>
      <formula2>0</formula2>
    </dataValidation>
    <dataValidation sqref="H5:H37" showDropDown="0" showInputMessage="0" showErrorMessage="0" allowBlank="1" type="list">
      <formula1>"Original,Reconstruida,No disponible"</formula1>
      <formula2>0</formula2>
    </dataValidation>
    <dataValidation sqref="I5:I37" showDropDown="0" showInputMessage="0" showErrorMessage="0" allowBlank="1" type="list">
      <formula1>"Sí,No"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64"/>
  <sheetViews>
    <sheetView zoomScale="70" zoomScaleNormal="70" workbookViewId="0">
      <pane ySplit="4" topLeftCell="A40" activePane="bottomLeft" state="frozen"/>
      <selection activeCell="E1" sqref="E1"/>
      <selection pane="bottomLeft" activeCell="I53" sqref="I53"/>
    </sheetView>
  </sheetViews>
  <sheetFormatPr baseColWidth="10" defaultColWidth="8.6640625" defaultRowHeight="13.2"/>
  <cols>
    <col width="27.44140625" customWidth="1" style="202" min="1" max="1"/>
    <col width="30.5546875" customWidth="1" style="198" min="2" max="2"/>
    <col width="12" bestFit="1" customWidth="1" style="198" min="3" max="3"/>
    <col width="12.6640625" bestFit="1" customWidth="1" style="198" min="4" max="4"/>
    <col width="12.109375" customWidth="1" style="198" min="5" max="5"/>
    <col width="17.5546875" customWidth="1" style="198" min="6" max="6"/>
    <col width="10.6640625" customWidth="1" style="198" min="7" max="7"/>
    <col width="11.6640625" customWidth="1" style="198" min="8" max="8"/>
    <col width="11" customWidth="1" style="198" min="9" max="9"/>
    <col width="10.6640625" customWidth="1" style="198" min="10" max="10"/>
    <col width="41.109375" customWidth="1" style="200" min="11" max="11"/>
    <col width="49.5546875" customWidth="1" style="200" min="12" max="12"/>
    <col width="8.6640625" customWidth="1" style="200" min="13" max="18"/>
    <col width="8.6640625" customWidth="1" style="200" min="19" max="16384"/>
  </cols>
  <sheetData>
    <row r="1">
      <c r="A1" s="203" t="inlineStr">
        <is>
          <t>I1 — Incidencias y deriva (H3: M14, M9, M10, M11, M12; descriptiva M13)</t>
        </is>
      </c>
    </row>
    <row r="2">
      <c r="A2" s="197" t="inlineStr">
        <is>
          <t>Una fila por incidencia. M14 = subset con tipo 'Deriva de alcance' Y origen='Stakeholder' o cambio no controlado.</t>
        </is>
      </c>
    </row>
    <row r="4" ht="39.6" customHeight="1">
      <c r="A4" s="5" t="inlineStr">
        <is>
          <t>ID incidencia</t>
        </is>
      </c>
      <c r="B4" s="5" t="inlineStr">
        <is>
          <t>Caso</t>
        </is>
      </c>
      <c r="C4" s="5" t="inlineStr">
        <is>
          <t>Run</t>
        </is>
      </c>
      <c r="D4" s="5" t="inlineStr">
        <is>
          <t>Fase detección (M11)</t>
        </is>
      </c>
      <c r="E4" s="5" t="inlineStr">
        <is>
          <t>Tipo (M9)</t>
        </is>
      </c>
      <c r="F4" s="5" t="inlineStr">
        <is>
          <t>Origen</t>
        </is>
      </c>
      <c r="G4" s="5" t="inlineStr">
        <is>
          <t>Severidad 
(M10)</t>
        </is>
      </c>
      <c r="H4" s="5" t="inlineStr">
        <is>
          <t>Coste corrección (min) (M12)</t>
        </is>
      </c>
      <c r="I4" s="5" t="inlineStr">
        <is>
          <t>¿Detectada en gate?</t>
        </is>
      </c>
      <c r="J4" s="5" t="inlineStr">
        <is>
          <t>¿Cuenta para M14?</t>
        </is>
      </c>
      <c r="K4" s="5" t="inlineStr">
        <is>
          <t>Descripción</t>
        </is>
      </c>
      <c r="L4" s="5" t="inlineStr">
        <is>
          <t>Evidencia</t>
        </is>
      </c>
    </row>
    <row r="5" ht="26.4" customFormat="1" customHeight="1" s="202">
      <c r="A5" s="39" t="inlineStr">
        <is>
          <t>INC-B-01</t>
        </is>
      </c>
      <c r="B5" s="40" t="inlineStr">
        <is>
          <t>Baseline</t>
        </is>
      </c>
      <c r="C5" s="40" t="inlineStr">
        <is>
          <t>—</t>
        </is>
      </c>
      <c r="D5" s="50" t="inlineStr">
        <is>
          <t>Sprint 1</t>
        </is>
      </c>
      <c r="E5" s="50" t="inlineStr">
        <is>
          <t>Deriva funcional</t>
        </is>
      </c>
      <c r="F5" s="50" t="inlineStr">
        <is>
          <t>Stakeholder</t>
        </is>
      </c>
      <c r="G5" s="50" t="inlineStr">
        <is>
          <t>Media</t>
        </is>
      </c>
      <c r="H5" s="50" t="n"/>
      <c r="I5" s="50" t="inlineStr">
        <is>
          <t>No</t>
        </is>
      </c>
      <c r="J5" s="50" t="inlineStr">
        <is>
          <t>Sí</t>
        </is>
      </c>
      <c r="K5" s="51" t="inlineStr">
        <is>
          <t>Cambio de formato de reserva: de días a calendario (solicitado por patrocinador).</t>
        </is>
      </c>
      <c r="L5" s="51" t="inlineStr">
        <is>
          <t>04_codigo\04a_casoBase\documentacion\EJECUCIÓN\REGISTRO DE INCIDENCIAS.pdf (ID 1, 20/11/2024) + 04_codigo\04a_casoBase\documentacion\EJECUCIÓN\REGISTRO DE CAMBIOS.pdf (ID 1, 18/11/2024) + 04_codigo\04a_casoBase\documentacion\EJECUCIÓN\Solicitud de cambio_01.pdf</t>
        </is>
      </c>
    </row>
    <row r="6" ht="26.4" customFormat="1" customHeight="1" s="202">
      <c r="A6" s="39" t="inlineStr">
        <is>
          <t>INC-B-02</t>
        </is>
      </c>
      <c r="B6" s="40" t="inlineStr">
        <is>
          <t>Baseline</t>
        </is>
      </c>
      <c r="C6" s="40" t="inlineStr">
        <is>
          <t>—</t>
        </is>
      </c>
      <c r="D6" s="50" t="inlineStr">
        <is>
          <t>Sprint 2</t>
        </is>
      </c>
      <c r="E6" s="50" t="inlineStr">
        <is>
          <t>Error técnico</t>
        </is>
      </c>
      <c r="F6" s="50" t="inlineStr">
        <is>
          <t>Humano</t>
        </is>
      </c>
      <c r="G6" s="50" t="inlineStr">
        <is>
          <t>Alta</t>
        </is>
      </c>
      <c r="H6" s="50" t="n"/>
      <c r="I6" s="50" t="inlineStr">
        <is>
          <t>No</t>
        </is>
      </c>
      <c r="J6" s="50" t="inlineStr">
        <is>
          <t>Sí</t>
        </is>
      </c>
      <c r="K6" s="51" t="inlineStr">
        <is>
          <t>Problemas implementación Stripe; reemplazado por PayPal en sprint posterior.</t>
        </is>
      </c>
      <c r="L6" s="51" t="inlineStr">
        <is>
          <t>04_codigo\04a_casoBase\documentacion\EJECUCIÓN\REGISTRO DE INCIDENCIAS.pdf (ID 2, 23/11/2024) + 04_codigo\04a_casoBase\documentacion\EJECUCIÓN\REGISTRO DE CAMBIOS.pdf (ID 2, 23/11/2024) + 04_codigo\04a_casoBase\documentacion\EJECUCIÓN\Solicitud de cambio_02.pdf</t>
        </is>
      </c>
    </row>
    <row r="7" ht="26.4" customFormat="1" customHeight="1" s="202">
      <c r="A7" s="39" t="inlineStr">
        <is>
          <t>INC-B-03</t>
        </is>
      </c>
      <c r="B7" s="40" t="inlineStr">
        <is>
          <t>Baseline</t>
        </is>
      </c>
      <c r="C7" s="40" t="inlineStr">
        <is>
          <t>—</t>
        </is>
      </c>
      <c r="D7" s="50" t="inlineStr">
        <is>
          <t>Sprint 3</t>
        </is>
      </c>
      <c r="E7" s="50" t="inlineStr">
        <is>
          <t>Error funcional</t>
        </is>
      </c>
      <c r="F7" s="50" t="inlineStr">
        <is>
          <t>Humano</t>
        </is>
      </c>
      <c r="G7" s="50" t="inlineStr">
        <is>
          <t>Baja</t>
        </is>
      </c>
      <c r="H7" s="50" t="n"/>
      <c r="I7" s="50" t="inlineStr">
        <is>
          <t>No</t>
        </is>
      </c>
      <c r="J7" s="50" t="inlineStr">
        <is>
          <t>No</t>
        </is>
      </c>
      <c r="K7" s="51" t="inlineStr">
        <is>
          <t>Filtros del catálogo no podían seleccionarse a la vez (defecto funcional detectado en ejecución).</t>
        </is>
      </c>
      <c r="L7" s="51" t="inlineStr">
        <is>
          <t>04_codigo\04a_casoBase\documentacion\EJECUCIÓN\REGISTRO DE INCIDENCIAS.pdf (ID 3, 04/12/2024) + 04_codigo\04a_casoBase\documentacion\EJECUCIÓN\REGISTRO DE CAMBIOS.pdf + 04_codigo\04a_casoBase\documentacion\EJECUCIÓN\Solicitud de cambio_03.pdf</t>
        </is>
      </c>
    </row>
    <row r="8" ht="26.4" customFormat="1" customHeight="1" s="202">
      <c r="A8" s="39" t="inlineStr">
        <is>
          <t>INC-B-04</t>
        </is>
      </c>
      <c r="B8" s="40" t="inlineStr">
        <is>
          <t>Baseline</t>
        </is>
      </c>
      <c r="C8" s="40" t="inlineStr">
        <is>
          <t>—</t>
        </is>
      </c>
      <c r="D8" s="50" t="inlineStr">
        <is>
          <t>Sprint 3</t>
        </is>
      </c>
      <c r="E8" s="50" t="inlineStr">
        <is>
          <t>Error funcional</t>
        </is>
      </c>
      <c r="F8" s="50" t="inlineStr">
        <is>
          <t>Humano</t>
        </is>
      </c>
      <c r="G8" s="50" t="inlineStr">
        <is>
          <t>Media</t>
        </is>
      </c>
      <c r="H8" s="50" t="n"/>
      <c r="I8" s="50" t="inlineStr">
        <is>
          <t>No</t>
        </is>
      </c>
      <c r="J8" s="50" t="inlineStr">
        <is>
          <t>No</t>
        </is>
      </c>
      <c r="K8" s="51" t="inlineStr">
        <is>
          <t>No se podía indicar la cantidad del producto en el catálogo.</t>
        </is>
      </c>
      <c r="L8" s="51" t="inlineStr">
        <is>
          <t>04_codigo\04a_casoBase\documentacion\EJECUCIÓN\REGISTRO DE INCIDENCIAS.pdf (ID 4, 04/12/2024) + 04_codigo\04a_casoBase\documentacion\EJECUCIÓN\REGISTRO DE CAMBIOS.pdf + 04_codigo\04a_casoBase\documentacion\EJECUCIÓN\Solicitud de cambio_04.pdf</t>
        </is>
      </c>
    </row>
    <row r="9" ht="26.4" customFormat="1" customHeight="1" s="202">
      <c r="A9" s="39" t="inlineStr">
        <is>
          <t>INC-B-05</t>
        </is>
      </c>
      <c r="B9" s="40" t="inlineStr">
        <is>
          <t>Baseline</t>
        </is>
      </c>
      <c r="C9" s="40" t="inlineStr">
        <is>
          <t>—</t>
        </is>
      </c>
      <c r="D9" s="50" t="inlineStr">
        <is>
          <t>Sprint 3</t>
        </is>
      </c>
      <c r="E9" s="50" t="inlineStr">
        <is>
          <t>Error funcional</t>
        </is>
      </c>
      <c r="F9" s="50" t="inlineStr">
        <is>
          <t>Humano</t>
        </is>
      </c>
      <c r="G9" s="50" t="inlineStr">
        <is>
          <t>Media</t>
        </is>
      </c>
      <c r="H9" s="50" t="n"/>
      <c r="I9" s="50" t="inlineStr">
        <is>
          <t>No</t>
        </is>
      </c>
      <c r="J9" s="50" t="inlineStr">
        <is>
          <t>No</t>
        </is>
      </c>
      <c r="K9" s="51" t="inlineStr">
        <is>
          <t>No se incluía la opción de inicio de sesión en el proceso de compra.</t>
        </is>
      </c>
      <c r="L9" s="51" t="inlineStr">
        <is>
          <t>04_codigo\04a_casoBase\documentacion\EJECUCIÓN\REGISTRO DE INCIDENCIAS.pdf (ID 5, 04/12/2024) + 04_codigo\04a_casoBase\documentacion\EJECUCIÓN\REGISTRO DE CAMBIOS.pdf + 04_codigo\04a_casoBase\documentacion\EJECUCIÓN\Solicitud de cambio_05.pdf</t>
        </is>
      </c>
    </row>
    <row r="10" ht="26.4" customFormat="1" customHeight="1" s="202">
      <c r="A10" s="39" t="inlineStr">
        <is>
          <t>CAM-B-01</t>
        </is>
      </c>
      <c r="B10" s="40" t="inlineStr">
        <is>
          <t>Baseline</t>
        </is>
      </c>
      <c r="C10" s="40" t="inlineStr">
        <is>
          <t>—</t>
        </is>
      </c>
      <c r="D10" s="50" t="inlineStr">
        <is>
          <t>Planificación</t>
        </is>
      </c>
      <c r="E10" s="50" t="inlineStr">
        <is>
          <t>Deriva funcional</t>
        </is>
      </c>
      <c r="F10" s="50" t="inlineStr">
        <is>
          <t>Stakeholder</t>
        </is>
      </c>
      <c r="G10" s="50" t="inlineStr">
        <is>
          <t>Media</t>
        </is>
      </c>
      <c r="H10" s="50" t="n"/>
      <c r="I10" s="50" t="inlineStr">
        <is>
          <t>No</t>
        </is>
      </c>
      <c r="J10" s="50" t="inlineStr">
        <is>
          <t>Sí</t>
        </is>
      </c>
      <c r="K10" s="51" t="inlineStr">
        <is>
          <t>Despliegue temprano aprobado (cambio de cronograma del patrocinador).</t>
        </is>
      </c>
      <c r="L10" s="51" t="inlineStr">
        <is>
          <t>Registro de Cambios Hundidos, ID 1 (18/11/2024).</t>
        </is>
      </c>
    </row>
    <row r="11" ht="26.4" customFormat="1" customHeight="1" s="202">
      <c r="A11" s="39" t="inlineStr">
        <is>
          <t>CAM-B-02</t>
        </is>
      </c>
      <c r="B11" s="40" t="inlineStr">
        <is>
          <t>Baseline</t>
        </is>
      </c>
      <c r="C11" s="40" t="inlineStr">
        <is>
          <t>—</t>
        </is>
      </c>
      <c r="D11" s="50" t="inlineStr">
        <is>
          <t>Sprint 2</t>
        </is>
      </c>
      <c r="E11" s="50" t="inlineStr">
        <is>
          <t>Deriva funcional</t>
        </is>
      </c>
      <c r="F11" s="50" t="inlineStr">
        <is>
          <t>Humano</t>
        </is>
      </c>
      <c r="G11" s="50" t="inlineStr">
        <is>
          <t>Alta</t>
        </is>
      </c>
      <c r="H11" s="50" t="n"/>
      <c r="I11" s="50" t="inlineStr">
        <is>
          <t>No</t>
        </is>
      </c>
      <c r="J11" s="50" t="inlineStr">
        <is>
          <t>Sí</t>
        </is>
      </c>
      <c r="K11" s="51" t="inlineStr">
        <is>
          <t>Atraso del sistema de pagos: finalización diferida al siguiente sprint.</t>
        </is>
      </c>
      <c r="L11" s="51" t="inlineStr">
        <is>
          <t>Registro de Cambios Hundidos, ID 2 (23/11/2024).</t>
        </is>
      </c>
    </row>
    <row r="12" ht="26.4" customFormat="1" customHeight="1" s="202">
      <c r="A12" s="39" t="inlineStr">
        <is>
          <t>CAM-B-03</t>
        </is>
      </c>
      <c r="B12" s="40" t="inlineStr">
        <is>
          <t>Baseline</t>
        </is>
      </c>
      <c r="C12" s="40" t="inlineStr">
        <is>
          <t>—</t>
        </is>
      </c>
      <c r="D12" s="50" t="inlineStr">
        <is>
          <t>Planificación</t>
        </is>
      </c>
      <c r="E12" s="50" t="inlineStr">
        <is>
          <t>Deriva funcional</t>
        </is>
      </c>
      <c r="F12" s="50" t="inlineStr">
        <is>
          <t>Humano</t>
        </is>
      </c>
      <c r="G12" s="50" t="inlineStr">
        <is>
          <t>Media</t>
        </is>
      </c>
      <c r="H12" s="50" t="n"/>
      <c r="I12" s="50" t="inlineStr">
        <is>
          <t>No</t>
        </is>
      </c>
      <c r="J12" s="50" t="inlineStr">
        <is>
          <t>Sí</t>
        </is>
      </c>
      <c r="K12" s="51" t="inlineStr">
        <is>
          <t>Cambio de requisitos aprobado (alcance modificado durante ejecución).</t>
        </is>
      </c>
      <c r="L12" s="51" t="inlineStr">
        <is>
          <t>Registro de Cambios Hundidos, ID 3 (30/11/2024).</t>
        </is>
      </c>
    </row>
    <row r="13" ht="26.4" customFormat="1" customHeight="1" s="202">
      <c r="A13" s="39" t="inlineStr">
        <is>
          <t>CAM-B-04</t>
        </is>
      </c>
      <c r="B13" s="40" t="inlineStr">
        <is>
          <t>Baseline</t>
        </is>
      </c>
      <c r="C13" s="40" t="inlineStr">
        <is>
          <t>—</t>
        </is>
      </c>
      <c r="D13" s="50" t="inlineStr">
        <is>
          <t>Planificación</t>
        </is>
      </c>
      <c r="E13" s="50" t="inlineStr">
        <is>
          <t>Deriva funcional</t>
        </is>
      </c>
      <c r="F13" s="50" t="inlineStr">
        <is>
          <t>Humano</t>
        </is>
      </c>
      <c r="G13" s="50" t="inlineStr">
        <is>
          <t>Media</t>
        </is>
      </c>
      <c r="H13" s="50" t="n"/>
      <c r="I13" s="50" t="inlineStr">
        <is>
          <t>No</t>
        </is>
      </c>
      <c r="J13" s="50" t="inlineStr">
        <is>
          <t>Sí</t>
        </is>
      </c>
      <c r="K13" s="51" t="inlineStr">
        <is>
          <t>Cambio de cronograma aprobado (replanificación de fechas).</t>
        </is>
      </c>
      <c r="L13" s="51" t="inlineStr">
        <is>
          <t>Registro de Cambios Hundidos, ID 4 (30/11/2024).</t>
        </is>
      </c>
    </row>
    <row r="14" ht="26.4" customFormat="1" customHeight="1" s="202">
      <c r="A14" s="39" t="inlineStr">
        <is>
          <t>CAM-B-05</t>
        </is>
      </c>
      <c r="B14" s="40" t="inlineStr">
        <is>
          <t>Baseline</t>
        </is>
      </c>
      <c r="C14" s="40" t="inlineStr">
        <is>
          <t>—</t>
        </is>
      </c>
      <c r="D14" s="50" t="inlineStr">
        <is>
          <t>Planificación</t>
        </is>
      </c>
      <c r="E14" s="50" t="inlineStr">
        <is>
          <t>Deriva funcional</t>
        </is>
      </c>
      <c r="F14" s="50" t="inlineStr">
        <is>
          <t>Humano</t>
        </is>
      </c>
      <c r="G14" s="50" t="inlineStr">
        <is>
          <t>Media</t>
        </is>
      </c>
      <c r="H14" s="50" t="n"/>
      <c r="I14" s="50" t="inlineStr">
        <is>
          <t>No</t>
        </is>
      </c>
      <c r="J14" s="50" t="inlineStr">
        <is>
          <t>Sí</t>
        </is>
      </c>
      <c r="K14" s="51" t="inlineStr">
        <is>
          <t>Cambio de cronograma aprobado (segunda replanificación).</t>
        </is>
      </c>
      <c r="L14" s="51" t="inlineStr">
        <is>
          <t>Registro de Cambios Hundidos, ID 5 (03/12/2024).</t>
        </is>
      </c>
    </row>
    <row r="15" ht="39.6" customFormat="1" customHeight="1" s="202">
      <c r="A15" s="41" t="inlineStr">
        <is>
          <t>INC-IA-R01-01</t>
        </is>
      </c>
      <c r="B15" s="42" t="inlineStr">
        <is>
          <t>Pipeline</t>
        </is>
      </c>
      <c r="C15" s="42" t="inlineStr">
        <is>
          <t>run_01</t>
        </is>
      </c>
      <c r="D15" s="52" t="inlineStr">
        <is>
          <t>Sprint 1</t>
        </is>
      </c>
      <c r="E15" s="52" t="inlineStr">
        <is>
          <t>Error técnico</t>
        </is>
      </c>
      <c r="F15" s="52" t="inlineStr">
        <is>
          <t>Agente</t>
        </is>
      </c>
      <c r="G15" s="52" t="inlineStr">
        <is>
          <t>Alta</t>
        </is>
      </c>
      <c r="H15" s="52" t="n"/>
      <c r="I15" s="52" t="inlineStr">
        <is>
          <t>No</t>
        </is>
      </c>
      <c r="J15" s="52" t="inlineStr">
        <is>
          <t>Sí</t>
        </is>
      </c>
      <c r="K15" s="53" t="inlineStr">
        <is>
          <t>Templates reservations/cart.html y reservations/step1.html no compilan: filtro "mul" no existe en Django (TemplateSyntaxError).</t>
        </is>
      </c>
      <c r="L15" s="53" t="inlineStr">
        <is>
          <t>review_sprint_1.json (run_2026-05-18_15-09), campo incidencias[].</t>
        </is>
      </c>
    </row>
    <row r="16" ht="26.4" customFormat="1" customHeight="1" s="202">
      <c r="A16" s="41" t="inlineStr">
        <is>
          <t>INC-IA-R01-02</t>
        </is>
      </c>
      <c r="B16" s="42" t="inlineStr">
        <is>
          <t>Pipeline</t>
        </is>
      </c>
      <c r="C16" s="42" t="inlineStr">
        <is>
          <t>run_01</t>
        </is>
      </c>
      <c r="D16" s="52" t="inlineStr">
        <is>
          <t>Sprint 1</t>
        </is>
      </c>
      <c r="E16" s="52" t="inlineStr">
        <is>
          <t>Fallo de validación</t>
        </is>
      </c>
      <c r="F16" s="52" t="inlineStr">
        <is>
          <t>Validación</t>
        </is>
      </c>
      <c r="G16" s="52" t="inlineStr">
        <is>
          <t>Media</t>
        </is>
      </c>
      <c r="H16" s="52" t="n"/>
      <c r="I16" s="52" t="inlineStr">
        <is>
          <t>No</t>
        </is>
      </c>
      <c r="J16" s="52" t="inlineStr">
        <is>
          <t>Sí</t>
        </is>
      </c>
      <c r="K16" s="53" t="inlineStr">
        <is>
          <t>Ruta /cesta/ no responde (TimeoutError) en el review automático de Sprint 1.</t>
        </is>
      </c>
      <c r="L16" s="53" t="inlineStr">
        <is>
          <t>review_sprint_1.json (run_2026-05-18_15-09), campo incidencias[].</t>
        </is>
      </c>
    </row>
    <row r="17" ht="39.6" customFormat="1" customHeight="1" s="202">
      <c r="A17" s="41" t="inlineStr">
        <is>
          <t>INC-IA-R01-03</t>
        </is>
      </c>
      <c r="B17" s="42" t="inlineStr">
        <is>
          <t>Pipeline</t>
        </is>
      </c>
      <c r="C17" s="42" t="inlineStr">
        <is>
          <t>run_01</t>
        </is>
      </c>
      <c r="D17" s="52" t="inlineStr">
        <is>
          <t>Sprint 1</t>
        </is>
      </c>
      <c r="E17" s="52" t="inlineStr">
        <is>
          <t>Error funcional</t>
        </is>
      </c>
      <c r="F17" s="52" t="inlineStr">
        <is>
          <t>Agente</t>
        </is>
      </c>
      <c r="G17" s="52" t="inlineStr">
        <is>
          <t>Baja</t>
        </is>
      </c>
      <c r="H17" s="52" t="n"/>
      <c r="I17" s="52" t="inlineStr">
        <is>
          <t>No</t>
        </is>
      </c>
      <c r="J17" s="52" t="inlineStr">
        <is>
          <t>No</t>
        </is>
      </c>
      <c r="K17" s="53" t="inlineStr">
        <is>
          <t>/admin-panel/ devuelve 404 en review S1; resuelto en S2 del mismo run (la ruta ya responde 302 en review_sprint_2.json).</t>
        </is>
      </c>
      <c r="L17" s="53" t="inlineStr">
        <is>
          <t>review_sprint_1.json (run_2026-05-18_15-09); resolución en review_sprint_2.json.</t>
        </is>
      </c>
    </row>
    <row r="18" ht="79.2" customFormat="1" customHeight="1" s="202">
      <c r="A18" s="41" t="inlineStr">
        <is>
          <t>INC-IA-R02-01</t>
        </is>
      </c>
      <c r="B18" s="42" t="inlineStr">
        <is>
          <t>Pipeline</t>
        </is>
      </c>
      <c r="C18" s="42" t="inlineStr">
        <is>
          <t>run_02</t>
        </is>
      </c>
      <c r="D18" s="52" t="inlineStr">
        <is>
          <t>Diseño</t>
        </is>
      </c>
      <c r="E18" s="52" t="inlineStr">
        <is>
          <t>Incoherencia documental</t>
        </is>
      </c>
      <c r="F18" s="52" t="inlineStr">
        <is>
          <t>Agente</t>
        </is>
      </c>
      <c r="G18" s="52" t="inlineStr">
        <is>
          <t>Alta</t>
        </is>
      </c>
      <c r="H18" s="52" t="n"/>
      <c r="I18" s="52" t="inlineStr">
        <is>
          <t>Sí</t>
        </is>
      </c>
      <c r="J18" s="52" t="inlineStr">
        <is>
          <t>Sí</t>
        </is>
      </c>
      <c r="K18" s="53" t="inlineStr">
        <is>
          <t>Gate 3 RECHAZADO en run_02: diseño técnico ubica panel administrativo propio bajo /admin/ en lugar de /admin-panel/, modelo Reserva no contempla múltiples barcos pese a cesta multi-item, y cancelación restringida a usuarios autenticados pese a reservas de visitantes.</t>
        </is>
      </c>
      <c r="L18" s="53" t="inlineStr">
        <is>
          <t>gate_humano.md fase 03 arquitectura, run_2026-05-18_16-37 (sección ## Observaciones y ## Acción).</t>
        </is>
      </c>
    </row>
    <row r="19" ht="39.6" customFormat="1" customHeight="1" s="202">
      <c r="A19" s="41" t="inlineStr">
        <is>
          <t>INC-IA-R02-03</t>
        </is>
      </c>
      <c r="B19" s="42" t="inlineStr">
        <is>
          <t>Pipeline</t>
        </is>
      </c>
      <c r="C19" s="42" t="inlineStr">
        <is>
          <t>run_02</t>
        </is>
      </c>
      <c r="D19" s="52" t="inlineStr">
        <is>
          <t>Sprint 1</t>
        </is>
      </c>
      <c r="E19" s="52" t="inlineStr">
        <is>
          <t>Error funcional</t>
        </is>
      </c>
      <c r="F19" s="52" t="inlineStr">
        <is>
          <t>Agente</t>
        </is>
      </c>
      <c r="G19" s="52" t="inlineStr">
        <is>
          <t>Media</t>
        </is>
      </c>
      <c r="H19" s="52" t="n"/>
      <c r="I19" s="52" t="inlineStr">
        <is>
          <t>No</t>
        </is>
      </c>
      <c r="J19" s="52" t="inlineStr">
        <is>
          <t>Sí</t>
        </is>
      </c>
      <c r="K19" s="53" t="inlineStr">
        <is>
          <t>/admin-panel/ devuelve 404 en review S1 del run_02; NO se resuelve en sprints posteriores (persiste hasta validacion_final).</t>
        </is>
      </c>
      <c r="L19" s="53" t="inlineStr">
        <is>
          <t>review_sprint_1_run2.json + persistencia en validacion_final_run2.json.</t>
        </is>
      </c>
    </row>
    <row r="20" ht="39.6" customHeight="1">
      <c r="A20" s="41" t="inlineStr">
        <is>
          <t>INC-IA-R02-04</t>
        </is>
      </c>
      <c r="B20" s="42" t="inlineStr">
        <is>
          <t>Pipeline</t>
        </is>
      </c>
      <c r="C20" s="42" t="inlineStr">
        <is>
          <t>run_02</t>
        </is>
      </c>
      <c r="D20" s="52" t="inlineStr">
        <is>
          <t>Sprint 1</t>
        </is>
      </c>
      <c r="E20" s="52" t="inlineStr">
        <is>
          <t>Error funcional</t>
        </is>
      </c>
      <c r="F20" s="52" t="inlineStr">
        <is>
          <t>Agente</t>
        </is>
      </c>
      <c r="G20" s="52" t="inlineStr">
        <is>
          <t>Baja</t>
        </is>
      </c>
      <c r="H20" s="52" t="n"/>
      <c r="I20" s="52" t="inlineStr">
        <is>
          <t>No</t>
        </is>
      </c>
      <c r="J20" s="52" t="inlineStr">
        <is>
          <t>Sí</t>
        </is>
      </c>
      <c r="K20" s="53" t="inlineStr">
        <is>
          <t>HU-22 y HU-25 marcadas como cumplimiento parcial en review automático de Sprint 1 del run_02.</t>
        </is>
      </c>
      <c r="L20" s="53" t="inlineStr">
        <is>
          <t>review_sprint_1_run2.json, campo cumplimiento.</t>
        </is>
      </c>
    </row>
    <row r="21" ht="52.8" customHeight="1">
      <c r="A21" s="41" t="inlineStr">
        <is>
          <t>INC-IA-R03-01</t>
        </is>
      </c>
      <c r="B21" s="42" t="inlineStr">
        <is>
          <t>Pipeline</t>
        </is>
      </c>
      <c r="C21" s="42" t="inlineStr">
        <is>
          <t>run_03</t>
        </is>
      </c>
      <c r="D21" s="52" t="inlineStr">
        <is>
          <t>Sprint 1</t>
        </is>
      </c>
      <c r="E21" s="52" t="inlineStr">
        <is>
          <t>Error técnico</t>
        </is>
      </c>
      <c r="F21" s="52" t="inlineStr">
        <is>
          <t>Agente</t>
        </is>
      </c>
      <c r="G21" s="52" t="inlineStr">
        <is>
          <t>Alta</t>
        </is>
      </c>
      <c r="H21" s="52" t="n"/>
      <c r="I21" s="52" t="inlineStr">
        <is>
          <t>No</t>
        </is>
      </c>
      <c r="J21" s="52" t="inlineStr">
        <is>
          <t>Sí</t>
        </is>
      </c>
      <c r="K21" s="53" t="inlineStr">
        <is>
          <t>Rutas /reserva/paso1, /reserva/paso2 y /reserva/paso3 devuelven HTTP 500 en review S1: vista lambda no retorna HttpResponse (devuelve None) en reservations/urls.py.</t>
        </is>
      </c>
      <c r="L21" s="53" t="inlineStr">
        <is>
          <t>review_sprint_1_run3.json + traceback (ValueError: The view didn't return an HttpResponse object).</t>
        </is>
      </c>
    </row>
    <row r="22" ht="39.6" customHeight="1">
      <c r="A22" s="41" t="inlineStr">
        <is>
          <t>INC-IA-R03-02</t>
        </is>
      </c>
      <c r="B22" s="42" t="inlineStr">
        <is>
          <t>Pipeline</t>
        </is>
      </c>
      <c r="C22" s="42" t="inlineStr">
        <is>
          <t>run_03</t>
        </is>
      </c>
      <c r="D22" s="52" t="inlineStr">
        <is>
          <t>Sprint 1</t>
        </is>
      </c>
      <c r="E22" s="52" t="inlineStr">
        <is>
          <t>Error funcional</t>
        </is>
      </c>
      <c r="F22" s="52" t="inlineStr">
        <is>
          <t>Agente</t>
        </is>
      </c>
      <c r="G22" s="52" t="inlineStr">
        <is>
          <t>Media</t>
        </is>
      </c>
      <c r="H22" s="52" t="n"/>
      <c r="I22" s="52" t="inlineStr">
        <is>
          <t>No</t>
        </is>
      </c>
      <c r="J22" s="52" t="inlineStr">
        <is>
          <t>Sí</t>
        </is>
      </c>
      <c r="K22" s="53" t="inlineStr">
        <is>
          <t>/admin-panel/ devuelve 404 en review S1 del run_03; persiste hasta S2 y validacion_final sin resolver.</t>
        </is>
      </c>
      <c r="L22" s="53" t="inlineStr">
        <is>
          <t>review_sprint_1_run3.json + persistencia en review_sprint_2_run3.json y validacion_final_run3.json.</t>
        </is>
      </c>
    </row>
    <row r="23" ht="52.8" customHeight="1">
      <c r="A23" s="41" t="inlineStr">
        <is>
          <t>INC-IA-R03-04</t>
        </is>
      </c>
      <c r="B23" s="42" t="inlineStr">
        <is>
          <t>Pipeline</t>
        </is>
      </c>
      <c r="C23" s="42" t="inlineStr">
        <is>
          <t>run_03</t>
        </is>
      </c>
      <c r="D23" s="52" t="inlineStr">
        <is>
          <t>Diseño</t>
        </is>
      </c>
      <c r="E23" s="52" t="inlineStr">
        <is>
          <t>Incoherencia documental</t>
        </is>
      </c>
      <c r="F23" s="52" t="inlineStr">
        <is>
          <t>Agente</t>
        </is>
      </c>
      <c r="G23" s="52" t="inlineStr">
        <is>
          <t>Baja</t>
        </is>
      </c>
      <c r="H23" s="52" t="n"/>
      <c r="I23" s="52" t="inlineStr">
        <is>
          <t>No</t>
        </is>
      </c>
      <c r="J23" s="52" t="inlineStr">
        <is>
          <t>No</t>
        </is>
      </c>
      <c r="K23" s="53" t="inlineStr">
        <is>
          <t>Warning urls.W005: el namespace de URL "admin" no es único (conflicto entre admin nativo de Django y admin-panel propio). No bloqueante.</t>
        </is>
      </c>
      <c r="L23" s="53" t="inlineStr">
        <is>
          <t>validacion_final_run3.json, stderr_resumen de check / migrate / runserver.</t>
        </is>
      </c>
    </row>
    <row r="24" ht="66" customHeight="1">
      <c r="A24" s="41" t="inlineStr">
        <is>
          <t>INC-IA-COMUN-01-01</t>
        </is>
      </c>
      <c r="B24" s="42" t="inlineStr">
        <is>
          <t>Pipeline</t>
        </is>
      </c>
      <c r="C24" s="42" t="inlineStr">
        <is>
          <t>run_01</t>
        </is>
      </c>
      <c r="D24" s="52" t="inlineStr">
        <is>
          <t>Requisitos</t>
        </is>
      </c>
      <c r="E24" s="52" t="inlineStr">
        <is>
          <t>Incoherencia documental</t>
        </is>
      </c>
      <c r="F24" s="52" t="inlineStr">
        <is>
          <t>Agente</t>
        </is>
      </c>
      <c r="G24" s="52" t="inlineStr">
        <is>
          <t>Baja</t>
        </is>
      </c>
      <c r="H24" s="52" t="n"/>
      <c r="I24" s="52" t="inlineStr">
        <is>
          <t>Sí</t>
        </is>
      </c>
      <c r="J24" s="52" t="inlineStr">
        <is>
          <t>Sí</t>
        </is>
      </c>
      <c r="K24" s="53" t="inlineStr">
        <is>
          <t>Patrón sistemático del agente Analista: todos los requisitos generados se marcan con prioridad Alta. Detectado al revisar gate_humano.md de los 3 runs oficiales. No bloqueante, pero limita la utilidad de la priorización del backlog.</t>
        </is>
      </c>
      <c r="L24" s="53" t="inlineStr">
        <is>
          <t>gate_humano.md fase 01 requisitos, observado en los 3 runs oficiales.</t>
        </is>
      </c>
    </row>
    <row r="25" ht="66" customHeight="1">
      <c r="A25" s="41" t="inlineStr">
        <is>
          <t>INC-IA-COMUN-01-02</t>
        </is>
      </c>
      <c r="B25" s="42" t="inlineStr">
        <is>
          <t>Pipeline</t>
        </is>
      </c>
      <c r="C25" s="42" t="inlineStr">
        <is>
          <t>run_02</t>
        </is>
      </c>
      <c r="D25" s="52" t="inlineStr">
        <is>
          <t>Requisitos</t>
        </is>
      </c>
      <c r="E25" s="52" t="inlineStr">
        <is>
          <t>Incoherencia documental</t>
        </is>
      </c>
      <c r="F25" s="52" t="inlineStr">
        <is>
          <t>Agente</t>
        </is>
      </c>
      <c r="G25" s="52" t="inlineStr">
        <is>
          <t>Baja</t>
        </is>
      </c>
      <c r="H25" s="52" t="n"/>
      <c r="I25" s="52" t="inlineStr">
        <is>
          <t>Sí</t>
        </is>
      </c>
      <c r="J25" s="52" t="inlineStr">
        <is>
          <t>Sí</t>
        </is>
      </c>
      <c r="K25" s="53" t="inlineStr">
        <is>
          <t>Patrón sistemático del agente Analista: todos los requisitos generados se marcan con prioridad Alta. Detectado al revisar gate_humano.md de los 3 runs oficiales. No bloqueante, pero limita la utilidad de la priorización del backlog.</t>
        </is>
      </c>
      <c r="L25" s="53" t="inlineStr">
        <is>
          <t>gate_humano.md fase 01 requisitos, observado en los 3 runs oficiales.</t>
        </is>
      </c>
    </row>
    <row r="26" ht="66" customHeight="1">
      <c r="A26" s="41" t="inlineStr">
        <is>
          <t>INC-IA-COMUN-01-03</t>
        </is>
      </c>
      <c r="B26" s="42" t="inlineStr">
        <is>
          <t>Pipeline</t>
        </is>
      </c>
      <c r="C26" s="42" t="inlineStr">
        <is>
          <t>run_03</t>
        </is>
      </c>
      <c r="D26" s="52" t="inlineStr">
        <is>
          <t>Requisitos</t>
        </is>
      </c>
      <c r="E26" s="52" t="inlineStr">
        <is>
          <t>Incoherencia documental</t>
        </is>
      </c>
      <c r="F26" s="52" t="inlineStr">
        <is>
          <t>Agente</t>
        </is>
      </c>
      <c r="G26" s="52" t="inlineStr">
        <is>
          <t>Baja</t>
        </is>
      </c>
      <c r="H26" s="52" t="n"/>
      <c r="I26" s="52" t="inlineStr">
        <is>
          <t>Sí</t>
        </is>
      </c>
      <c r="J26" s="52" t="inlineStr">
        <is>
          <t>Sí</t>
        </is>
      </c>
      <c r="K26" s="53" t="inlineStr">
        <is>
          <t>Patrón sistemático del agente Analista: todos los requisitos generados se marcan con prioridad Alta. Detectado al revisar gate_humano.md de los 3 runs oficiales. No bloqueante, pero limita la utilidad de la priorización del backlog.</t>
        </is>
      </c>
      <c r="L26" s="53" t="inlineStr">
        <is>
          <t>gate_humano.md fase 01 requisitos, observado en los 3 runs oficiales.</t>
        </is>
      </c>
    </row>
    <row r="27" ht="39.6" customHeight="1">
      <c r="A27" s="41" t="inlineStr">
        <is>
          <t>INC-IA-COMUN-02-01</t>
        </is>
      </c>
      <c r="B27" s="42" t="inlineStr">
        <is>
          <t>Pipeline</t>
        </is>
      </c>
      <c r="C27" s="42" t="inlineStr">
        <is>
          <t>run_01</t>
        </is>
      </c>
      <c r="D27" s="52" t="inlineStr">
        <is>
          <t>Requisitos</t>
        </is>
      </c>
      <c r="E27" s="52" t="inlineStr">
        <is>
          <t>Error técnico</t>
        </is>
      </c>
      <c r="F27" s="52" t="inlineStr">
        <is>
          <t>Agente</t>
        </is>
      </c>
      <c r="G27" s="52" t="inlineStr">
        <is>
          <t>Baja</t>
        </is>
      </c>
      <c r="H27" s="52" t="n"/>
      <c r="I27" s="52" t="inlineStr">
        <is>
          <t>Sí</t>
        </is>
      </c>
      <c r="J27" s="52" t="inlineStr">
        <is>
          <t>No</t>
        </is>
      </c>
      <c r="K27" s="53" t="inlineStr">
        <is>
          <t>Logout aparece como ruta GET en lugar de POST (preferible por seguridad). Observado en gate_humano.md de fase 01 en los 3 runs.</t>
        </is>
      </c>
      <c r="L27" s="53" t="inlineStr">
        <is>
          <t>gate_humano.md fase 01 requisitos, observado en los 3 runs oficiales.</t>
        </is>
      </c>
    </row>
    <row r="28" ht="39.6" customHeight="1">
      <c r="A28" s="41" t="inlineStr">
        <is>
          <t>INC-IA-COMUN-02-02</t>
        </is>
      </c>
      <c r="B28" s="42" t="inlineStr">
        <is>
          <t>Pipeline</t>
        </is>
      </c>
      <c r="C28" s="42" t="inlineStr">
        <is>
          <t>run_02</t>
        </is>
      </c>
      <c r="D28" s="52" t="inlineStr">
        <is>
          <t>Requisitos</t>
        </is>
      </c>
      <c r="E28" s="52" t="inlineStr">
        <is>
          <t>Error técnico</t>
        </is>
      </c>
      <c r="F28" s="52" t="inlineStr">
        <is>
          <t>Agente</t>
        </is>
      </c>
      <c r="G28" s="52" t="inlineStr">
        <is>
          <t>Baja</t>
        </is>
      </c>
      <c r="H28" s="52" t="n"/>
      <c r="I28" s="52" t="inlineStr">
        <is>
          <t>Sí</t>
        </is>
      </c>
      <c r="J28" s="52" t="inlineStr">
        <is>
          <t>No</t>
        </is>
      </c>
      <c r="K28" s="53" t="inlineStr">
        <is>
          <t>Logout aparece como ruta GET en lugar de POST (preferible por seguridad). Observado en gate_humano.md de fase 01 en los 3 runs.</t>
        </is>
      </c>
      <c r="L28" s="53" t="inlineStr">
        <is>
          <t>gate_humano.md fase 01 requisitos, observado en los 3 runs oficiales.</t>
        </is>
      </c>
    </row>
    <row r="29" ht="39.6" customHeight="1">
      <c r="A29" s="41" t="inlineStr">
        <is>
          <t>INC-IA-COMUN-02-03</t>
        </is>
      </c>
      <c r="B29" s="42" t="inlineStr">
        <is>
          <t>Pipeline</t>
        </is>
      </c>
      <c r="C29" s="42" t="inlineStr">
        <is>
          <t>run_03</t>
        </is>
      </c>
      <c r="D29" s="52" t="inlineStr">
        <is>
          <t>Requisitos</t>
        </is>
      </c>
      <c r="E29" s="52" t="inlineStr">
        <is>
          <t>Error técnico</t>
        </is>
      </c>
      <c r="F29" s="52" t="inlineStr">
        <is>
          <t>Agente</t>
        </is>
      </c>
      <c r="G29" s="52" t="inlineStr">
        <is>
          <t>Baja</t>
        </is>
      </c>
      <c r="H29" s="52" t="n"/>
      <c r="I29" s="52" t="inlineStr">
        <is>
          <t>Sí</t>
        </is>
      </c>
      <c r="J29" s="52" t="inlineStr">
        <is>
          <t>No</t>
        </is>
      </c>
      <c r="K29" s="53" t="inlineStr">
        <is>
          <t>Logout aparece como ruta GET en lugar de POST (preferible por seguridad). Observado en gate_humano.md de fase 01 en los 3 runs.</t>
        </is>
      </c>
      <c r="L29" s="53" t="inlineStr">
        <is>
          <t>gate_humano.md fase 01 requisitos, observado en los 3 runs oficiales.</t>
        </is>
      </c>
    </row>
    <row r="30" ht="79.2" customHeight="1">
      <c r="A30" s="41" t="inlineStr">
        <is>
          <t>INC-IA-COMUN-03-01</t>
        </is>
      </c>
      <c r="B30" s="42" t="inlineStr">
        <is>
          <t>Pipeline</t>
        </is>
      </c>
      <c r="C30" s="42" t="inlineStr">
        <is>
          <t>run_01</t>
        </is>
      </c>
      <c r="D30" s="52" t="inlineStr">
        <is>
          <t>Diseño</t>
        </is>
      </c>
      <c r="E30" s="52" t="inlineStr">
        <is>
          <t>Error técnico</t>
        </is>
      </c>
      <c r="F30" s="52" t="inlineStr">
        <is>
          <t>Agente</t>
        </is>
      </c>
      <c r="G30" s="52" t="inlineStr">
        <is>
          <t>Baja</t>
        </is>
      </c>
      <c r="H30" s="52" t="n"/>
      <c r="I30" s="52" t="inlineStr">
        <is>
          <t>Sí</t>
        </is>
      </c>
      <c r="J30" s="52" t="inlineStr">
        <is>
          <t>No</t>
        </is>
      </c>
      <c r="K30" s="53" t="inlineStr">
        <is>
          <t>Campo ImageField del diseño técnico declarado como upload_to=barcos/ sin comillas (cadena no válida). Consecuencia operativa: no se muestran imágenes en el producto generado en ninguno de los 3 runs, aunque no genera error de arranque.</t>
        </is>
      </c>
      <c r="L30" s="53" t="inlineStr">
        <is>
          <t>gate_humano.md fase 03 arquitectura (observación no bloqueante en los 3 runs).</t>
        </is>
      </c>
    </row>
    <row r="31" ht="79.2" customHeight="1">
      <c r="A31" s="41" t="inlineStr">
        <is>
          <t>INC-IA-COMUN-03-02</t>
        </is>
      </c>
      <c r="B31" s="42" t="inlineStr">
        <is>
          <t>Pipeline</t>
        </is>
      </c>
      <c r="C31" s="42" t="inlineStr">
        <is>
          <t>run_02</t>
        </is>
      </c>
      <c r="D31" s="52" t="inlineStr">
        <is>
          <t>Diseño</t>
        </is>
      </c>
      <c r="E31" s="52" t="inlineStr">
        <is>
          <t>Error técnico</t>
        </is>
      </c>
      <c r="F31" s="52" t="inlineStr">
        <is>
          <t>Agente</t>
        </is>
      </c>
      <c r="G31" s="52" t="inlineStr">
        <is>
          <t>Baja</t>
        </is>
      </c>
      <c r="H31" s="52" t="n"/>
      <c r="I31" s="52" t="inlineStr">
        <is>
          <t>Sí</t>
        </is>
      </c>
      <c r="J31" s="52" t="inlineStr">
        <is>
          <t>No</t>
        </is>
      </c>
      <c r="K31" s="53" t="inlineStr">
        <is>
          <t>Campo ImageField del diseño técnico declarado como upload_to=barcos/ sin comillas (cadena no válida). Consecuencia operativa: no se muestran imágenes en el producto generado en ninguno de los 3 runs, aunque no genera error de arranque.</t>
        </is>
      </c>
      <c r="L31" s="53" t="inlineStr">
        <is>
          <t>gate_humano.md fase 03 arquitectura (observación no bloqueante en los 3 runs).</t>
        </is>
      </c>
    </row>
    <row r="32" ht="79.2" customHeight="1">
      <c r="A32" s="41" t="inlineStr">
        <is>
          <t>INC-IA-COMUN-03-03</t>
        </is>
      </c>
      <c r="B32" s="42" t="inlineStr">
        <is>
          <t>Pipeline</t>
        </is>
      </c>
      <c r="C32" s="42" t="inlineStr">
        <is>
          <t>run_03</t>
        </is>
      </c>
      <c r="D32" s="52" t="inlineStr">
        <is>
          <t>Diseño</t>
        </is>
      </c>
      <c r="E32" s="52" t="inlineStr">
        <is>
          <t>Error técnico</t>
        </is>
      </c>
      <c r="F32" s="52" t="inlineStr">
        <is>
          <t>Agente</t>
        </is>
      </c>
      <c r="G32" s="52" t="inlineStr">
        <is>
          <t>Baja</t>
        </is>
      </c>
      <c r="H32" s="52" t="n"/>
      <c r="I32" s="52" t="inlineStr">
        <is>
          <t>Sí</t>
        </is>
      </c>
      <c r="J32" s="52" t="inlineStr">
        <is>
          <t>No</t>
        </is>
      </c>
      <c r="K32" s="53" t="inlineStr">
        <is>
          <t>Campo ImageField del diseño técnico declarado como upload_to=barcos/ sin comillas (cadena no válida). Consecuencia operativa: no se muestran imágenes en el producto generado en ninguno de los 3 runs, aunque no genera error de arranque.</t>
        </is>
      </c>
      <c r="L32" s="53" t="inlineStr">
        <is>
          <t>gate_humano.md fase 03 arquitectura (observación no bloqueante en los 3 runs).</t>
        </is>
      </c>
    </row>
    <row r="34" ht="16.8" customHeight="1">
      <c r="A34" s="43" t="inlineStr">
        <is>
          <t>AGREGADOS H3</t>
        </is>
      </c>
    </row>
    <row r="35">
      <c r="A35" s="44" t="inlineStr">
        <is>
          <t>Métrica</t>
        </is>
      </c>
      <c r="B35" s="45" t="inlineStr">
        <is>
          <t>Baseline</t>
        </is>
      </c>
      <c r="C35" s="45" t="inlineStr">
        <is>
          <t>Run 01</t>
        </is>
      </c>
      <c r="D35" s="45" t="inlineStr">
        <is>
          <t>Run 02</t>
        </is>
      </c>
      <c r="E35" s="45" t="inlineStr">
        <is>
          <t>Run 03</t>
        </is>
      </c>
      <c r="F35" s="45" t="inlineStr">
        <is>
          <t>Pipeline media</t>
        </is>
      </c>
    </row>
    <row r="36">
      <c r="A36" s="47" t="inlineStr">
        <is>
          <t>Total incidencias</t>
        </is>
      </c>
      <c r="B36" s="54">
        <f>COUNTIFS(B5:B32,"Baseline")</f>
        <v/>
      </c>
      <c r="C36" s="54">
        <f>COUNTIFS(B5:B32,"Pipeline",C5:C32,"run_01")</f>
        <v/>
      </c>
      <c r="D36" s="54">
        <f>COUNTIFS(B5:B32,"Pipeline",C5:C32,"run_02")</f>
        <v/>
      </c>
      <c r="E36" s="54">
        <f>COUNTIFS(B5:B32,"Pipeline",C5:C32,"run_03")</f>
        <v/>
      </c>
      <c r="F36" s="54">
        <f>AVERAGE(C36:E36)</f>
        <v/>
      </c>
    </row>
    <row r="37" ht="39.6" customHeight="1">
      <c r="A37" s="47" t="inlineStr">
        <is>
          <t>M14 — Cambios por malinterpretación/reinterpretación</t>
        </is>
      </c>
      <c r="B37" s="54">
        <f>COUNTIFS(B5:B32,"Baseline",J5:J32,"Sí")</f>
        <v/>
      </c>
      <c r="C37" s="54">
        <f>COUNTIFS(B5:B32,"Pipeline",C5:C32,"run_01",J5:J32,"Sí")</f>
        <v/>
      </c>
      <c r="D37" s="54">
        <f>COUNTIFS(B5:B32,"Pipeline",C5:C32,"run_02",J5:J32,"Sí")</f>
        <v/>
      </c>
      <c r="E37" s="54">
        <f>COUNTIFS(B5:B32,"Pipeline",C5:C32,"run_03",J5:J32,"Sí")</f>
        <v/>
      </c>
      <c r="F37" s="54">
        <f>AVERAGE(C37:E37)</f>
        <v/>
      </c>
    </row>
    <row r="38" ht="26.4" customHeight="1">
      <c r="A38" s="47" t="inlineStr">
        <is>
          <t>M9 — Incidencias por tipo: Deriva funcional</t>
        </is>
      </c>
      <c r="B38" s="54">
        <f>COUNTIFS(B5:B32,"Baseline",E5:E32,"Deriva funcional")</f>
        <v/>
      </c>
      <c r="C38" s="54">
        <f>COUNTIFS(B5:B32,"Pipeline",C5:C32,"run_01",E5:E32,"Deriva funcional")</f>
        <v/>
      </c>
      <c r="D38" s="54">
        <f>COUNTIFS(B5:B32,"Pipeline",C5:C32,"run_02",E5:E32,"Deriva funcional")</f>
        <v/>
      </c>
      <c r="E38" s="54">
        <f>COUNTIFS(B5:B32,"Pipeline",C5:C32,"run_03",E5:E32,"Deriva funcional")</f>
        <v/>
      </c>
      <c r="F38" s="54">
        <f>AVERAGE(C38:E38)</f>
        <v/>
      </c>
    </row>
    <row r="39" ht="28.8" customHeight="1">
      <c r="A39" s="47" t="inlineStr">
        <is>
          <t>M13 — Incidencias detectadas por gate (%)</t>
        </is>
      </c>
      <c r="B39" s="54" t="inlineStr">
        <is>
          <t>?</t>
        </is>
      </c>
      <c r="C39" s="54">
        <f>IF(C36&gt;0,COUNTIFS(B5:B32,"Pipeline",C5:C32,"run_01",I5:I32,"Sí")/C36*100,0)</f>
        <v/>
      </c>
      <c r="D39" s="54">
        <f>IF(D36&gt;0,COUNTIFS(B5:B32,"Pipeline",C5:C32,"run_02",I5:I32,"Sí")/D36*100,0)</f>
        <v/>
      </c>
      <c r="E39" s="54">
        <f>IF(E36&gt;0,COUNTIFS(B5:B32,"Pipeline",C5:C32,"run_03",I5:I32,"Sí")/E36*100,0)</f>
        <v/>
      </c>
      <c r="F39" s="54">
        <f>AVERAGE(C39:E39)</f>
        <v/>
      </c>
    </row>
    <row r="40" ht="40.8" customHeight="1">
      <c r="A40" s="211" t="inlineStr">
        <is>
          <t>VEREDICTO H3 (M14_IA &lt; M14_baseline  y  % derivas detectadas en gate &gt; 50%)</t>
        </is>
      </c>
      <c r="B40" s="212" t="n"/>
      <c r="C40" s="212" t="n"/>
      <c r="D40" s="212" t="n"/>
      <c r="E40" s="213" t="n"/>
      <c r="F40" s="55" t="inlineStr">
        <is>
          <t>PARCIALMENTE SOSTENIDA — menos derivas que el baseline; detección de derivas en gate = 38,89 % &lt; 50 %</t>
        </is>
      </c>
    </row>
    <row r="42">
      <c r="A42" s="202" t="n"/>
    </row>
    <row r="44" ht="14.4" customHeight="1">
      <c r="A44" s="210" t="inlineStr">
        <is>
          <t>Agregados auxiliares H3</t>
        </is>
      </c>
      <c r="B44" s="189" t="n"/>
      <c r="C44" s="189" t="n"/>
      <c r="D44" s="189" t="n"/>
      <c r="E44" s="189" t="n"/>
      <c r="F44" s="189" t="n"/>
      <c r="G44" s="190" t="n"/>
    </row>
    <row r="45" ht="14.4" customHeight="1">
      <c r="A45" s="210" t="inlineStr">
        <is>
          <t>Métrica</t>
        </is>
      </c>
      <c r="B45" s="210" t="inlineStr">
        <is>
          <t>Detalle</t>
        </is>
      </c>
      <c r="C45" s="210" t="inlineStr">
        <is>
          <t>Baseline</t>
        </is>
      </c>
      <c r="D45" s="210" t="inlineStr">
        <is>
          <t>Run 01</t>
        </is>
      </c>
      <c r="E45" s="210" t="inlineStr">
        <is>
          <t>Run 02</t>
        </is>
      </c>
      <c r="F45" s="210" t="inlineStr">
        <is>
          <t>Run 03</t>
        </is>
      </c>
      <c r="G45" s="210" t="inlineStr">
        <is>
          <t>Media</t>
        </is>
      </c>
    </row>
    <row r="46" ht="14.4" customHeight="1">
      <c r="A46" s="103" t="inlineStr">
        <is>
          <t>M9</t>
        </is>
      </c>
      <c r="B46" s="103" t="inlineStr">
        <is>
          <t>Deriva funcional</t>
        </is>
      </c>
      <c r="C46" s="103">
        <f>COUNTIFS($B$5:$B$32,"Baseline",$E$5:$E$32,B46)</f>
        <v/>
      </c>
      <c r="D46" s="103">
        <f>COUNTIFS($B$5:$B$32,"Pipeline",$C$5:$C$32,"run_01",$E$5:$E$32,B46)</f>
        <v/>
      </c>
      <c r="E46" s="103">
        <f>COUNTIFS($B$5:$B$32,"Pipeline",$C$5:$C$32,"run_02",$E$5:$E$32,B46)</f>
        <v/>
      </c>
      <c r="F46" s="103">
        <f>COUNTIFS($B$5:$B$32,"Pipeline",$C$5:$C$32,"run_03",$E$5:$E$32,B46)</f>
        <v/>
      </c>
      <c r="G46" s="103">
        <f>AVERAGE(D46:F46)</f>
        <v/>
      </c>
    </row>
    <row r="47" ht="14.4" customHeight="1">
      <c r="A47" s="103" t="inlineStr">
        <is>
          <t>M9</t>
        </is>
      </c>
      <c r="B47" s="103" t="inlineStr">
        <is>
          <t>Error técnico</t>
        </is>
      </c>
      <c r="C47" s="103">
        <f>COUNTIFS($B$5:$B$32,"Baseline",$E$5:$E$32,B47)</f>
        <v/>
      </c>
      <c r="D47" s="103">
        <f>COUNTIFS($B$5:$B$32,"Pipeline",$C$5:$C$32,"run_01",$E$5:$E$32,B47)</f>
        <v/>
      </c>
      <c r="E47" s="103">
        <f>COUNTIFS($B$5:$B$32,"Pipeline",$C$5:$C$32,"run_02",$E$5:$E$32,B47)</f>
        <v/>
      </c>
      <c r="F47" s="103">
        <f>COUNTIFS($B$5:$B$32,"Pipeline",$C$5:$C$32,"run_03",$E$5:$E$32,B47)</f>
        <v/>
      </c>
      <c r="G47" s="103">
        <f>AVERAGE(D47:F47)</f>
        <v/>
      </c>
    </row>
    <row r="48" ht="14.4" customHeight="1">
      <c r="A48" s="103" t="inlineStr">
        <is>
          <t>M9</t>
        </is>
      </c>
      <c r="B48" s="103" t="inlineStr">
        <is>
          <t>Error funcional</t>
        </is>
      </c>
      <c r="C48" s="103">
        <f>COUNTIFS($B$5:$B$32,"Baseline",$E$5:$E$32,B48)</f>
        <v/>
      </c>
      <c r="D48" s="103">
        <f>COUNTIFS($B$5:$B$32,"Pipeline",$C$5:$C$32,"run_01",$E$5:$E$32,B48)</f>
        <v/>
      </c>
      <c r="E48" s="103">
        <f>COUNTIFS($B$5:$B$32,"Pipeline",$C$5:$C$32,"run_02",$E$5:$E$32,B48)</f>
        <v/>
      </c>
      <c r="F48" s="103">
        <f>COUNTIFS($B$5:$B$32,"Pipeline",$C$5:$C$32,"run_03",$E$5:$E$32,B48)</f>
        <v/>
      </c>
      <c r="G48" s="103">
        <f>AVERAGE(D48:F48)</f>
        <v/>
      </c>
    </row>
    <row r="49" ht="14.4" customHeight="1">
      <c r="A49" s="103" t="inlineStr">
        <is>
          <t>M9</t>
        </is>
      </c>
      <c r="B49" s="103" t="inlineStr">
        <is>
          <t>Fallo de validación</t>
        </is>
      </c>
      <c r="C49" s="103">
        <f>COUNTIFS($B$5:$B$32,"Baseline",$E$5:$E$32,B49)</f>
        <v/>
      </c>
      <c r="D49" s="103">
        <f>COUNTIFS($B$5:$B$32,"Pipeline",$C$5:$C$32,"run_01",$E$5:$E$32,B49)</f>
        <v/>
      </c>
      <c r="E49" s="103">
        <f>COUNTIFS($B$5:$B$32,"Pipeline",$C$5:$C$32,"run_02",$E$5:$E$32,B49)</f>
        <v/>
      </c>
      <c r="F49" s="103">
        <f>COUNTIFS($B$5:$B$32,"Pipeline",$C$5:$C$32,"run_03",$E$5:$E$32,B49)</f>
        <v/>
      </c>
      <c r="G49" s="103">
        <f>AVERAGE(D49:F49)</f>
        <v/>
      </c>
    </row>
    <row r="50" ht="14.4" customHeight="1">
      <c r="A50" s="103" t="inlineStr">
        <is>
          <t>M9</t>
        </is>
      </c>
      <c r="B50" s="103" t="inlineStr">
        <is>
          <t>Incoherencia documental</t>
        </is>
      </c>
      <c r="C50" s="103">
        <f>COUNTIFS($B$5:$B$32,"Baseline",$E$5:$E$32,B50)</f>
        <v/>
      </c>
      <c r="D50" s="103">
        <f>COUNTIFS($B$5:$B$32,"Pipeline",$C$5:$C$32,"run_01",$E$5:$E$32,B50)</f>
        <v/>
      </c>
      <c r="E50" s="103">
        <f>COUNTIFS($B$5:$B$32,"Pipeline",$C$5:$C$32,"run_02",$E$5:$E$32,B50)</f>
        <v/>
      </c>
      <c r="F50" s="103">
        <f>COUNTIFS($B$5:$B$32,"Pipeline",$C$5:$C$32,"run_03",$E$5:$E$32,B50)</f>
        <v/>
      </c>
      <c r="G50" s="103">
        <f>AVERAGE(D50:F50)</f>
        <v/>
      </c>
    </row>
    <row r="51">
      <c r="A51" s="102" t="n"/>
      <c r="B51" s="101" t="n"/>
      <c r="C51" s="101" t="n"/>
      <c r="D51" s="101" t="n"/>
      <c r="E51" s="101" t="n"/>
      <c r="F51" s="101" t="n"/>
      <c r="G51" s="101" t="n"/>
    </row>
    <row r="52" ht="14.4" customHeight="1">
      <c r="A52" s="103" t="inlineStr">
        <is>
          <t>M10</t>
        </is>
      </c>
      <c r="B52" s="103" t="inlineStr">
        <is>
          <t>Alta</t>
        </is>
      </c>
      <c r="C52" s="103">
        <f>COUNTIFS($B$5:$B$32,"Baseline",$G$5:$G$32,B52)</f>
        <v/>
      </c>
      <c r="D52" s="103">
        <f>COUNTIFS($B$5:$B$32,"Pipeline",$C$5:$C$32,"run_01",$G$5:$G$32,B52)</f>
        <v/>
      </c>
      <c r="E52" s="103">
        <f>COUNTIFS($B$5:$B$32,"Pipeline",$C$5:$C$32,"run_02",$G$5:$G$32,B52)</f>
        <v/>
      </c>
      <c r="F52" s="103">
        <f>COUNTIFS($B$5:$B$32,"Pipeline",$C$5:$C$32,"run_03",$G$5:$G$32,B52)</f>
        <v/>
      </c>
      <c r="G52" s="103">
        <f>AVERAGE(D52:F52)</f>
        <v/>
      </c>
    </row>
    <row r="53" ht="14.4" customHeight="1">
      <c r="A53" s="103" t="inlineStr">
        <is>
          <t>M10</t>
        </is>
      </c>
      <c r="B53" s="103" t="inlineStr">
        <is>
          <t>Media</t>
        </is>
      </c>
      <c r="C53" s="103">
        <f>COUNTIFS($B$5:$B$32,"Baseline",$G$5:$G$32,B53)</f>
        <v/>
      </c>
      <c r="D53" s="103">
        <f>COUNTIFS($B$5:$B$32,"Pipeline",$C$5:$C$32,"run_01",$G$5:$G$32,B53)</f>
        <v/>
      </c>
      <c r="E53" s="103">
        <f>COUNTIFS($B$5:$B$32,"Pipeline",$C$5:$C$32,"run_02",$G$5:$G$32,B53)</f>
        <v/>
      </c>
      <c r="F53" s="103">
        <f>COUNTIFS($B$5:$B$32,"Pipeline",$C$5:$C$32,"run_03",$G$5:$G$32,B53)</f>
        <v/>
      </c>
      <c r="G53" s="103">
        <f>AVERAGE(D53:F53)</f>
        <v/>
      </c>
    </row>
    <row r="54" ht="14.4" customHeight="1">
      <c r="A54" s="103" t="inlineStr">
        <is>
          <t>M10</t>
        </is>
      </c>
      <c r="B54" s="103" t="inlineStr">
        <is>
          <t>Baja</t>
        </is>
      </c>
      <c r="C54" s="103">
        <f>COUNTIFS($B$5:$B$32,"Baseline",$G$5:$G$32,B54)</f>
        <v/>
      </c>
      <c r="D54" s="103">
        <f>COUNTIFS($B$5:$B$32,"Pipeline",$C$5:$C$32,"run_01",$G$5:$G$32,B54)</f>
        <v/>
      </c>
      <c r="E54" s="103">
        <f>COUNTIFS($B$5:$B$32,"Pipeline",$C$5:$C$32,"run_02",$G$5:$G$32,B54)</f>
        <v/>
      </c>
      <c r="F54" s="103">
        <f>COUNTIFS($B$5:$B$32,"Pipeline",$C$5:$C$32,"run_03",$G$5:$G$32,B54)</f>
        <v/>
      </c>
      <c r="G54" s="103">
        <f>AVERAGE(D54:F54)</f>
        <v/>
      </c>
    </row>
    <row r="55">
      <c r="A55" s="102" t="n"/>
      <c r="B55" s="101" t="n"/>
      <c r="C55" s="101" t="n"/>
      <c r="D55" s="101" t="n"/>
      <c r="E55" s="101" t="n"/>
      <c r="F55" s="101" t="n"/>
      <c r="G55" s="101" t="n"/>
    </row>
    <row r="56" ht="14.4" customHeight="1">
      <c r="A56" s="103" t="inlineStr">
        <is>
          <t>M11</t>
        </is>
      </c>
      <c r="B56" s="103" t="inlineStr">
        <is>
          <t>Requisitos</t>
        </is>
      </c>
      <c r="C56" s="103">
        <f>COUNTIFS($B$5:$B$32,"Baseline",$D$5:$D$32,B56)</f>
        <v/>
      </c>
      <c r="D56" s="103">
        <f>COUNTIFS($B$5:$B$32,"Pipeline",$C$5:$C$32,"run_01",$D$5:$D$32,B56)</f>
        <v/>
      </c>
      <c r="E56" s="103">
        <f>COUNTIFS($B$5:$B$32,"Pipeline",$C$5:$C$32,"run_02",$D$5:$D$32,B56)</f>
        <v/>
      </c>
      <c r="F56" s="103">
        <f>COUNTIFS($B$5:$B$32,"Pipeline",$C$5:$C$32,"run_03",$D$5:$D$32,B56)</f>
        <v/>
      </c>
      <c r="G56" s="103">
        <f>AVERAGE(D56:F56)</f>
        <v/>
      </c>
    </row>
    <row r="57" ht="14.4" customHeight="1">
      <c r="A57" s="103" t="inlineStr">
        <is>
          <t>M11</t>
        </is>
      </c>
      <c r="B57" s="103" t="inlineStr">
        <is>
          <t>Planificación</t>
        </is>
      </c>
      <c r="C57" s="103">
        <f>COUNTIFS($B$5:$B$32,"Baseline",$D$5:$D$32,B57)</f>
        <v/>
      </c>
      <c r="D57" s="103">
        <f>COUNTIFS($B$5:$B$32,"Pipeline",$C$5:$C$32,"run_01",$D$5:$D$32,B57)</f>
        <v/>
      </c>
      <c r="E57" s="103">
        <f>COUNTIFS($B$5:$B$32,"Pipeline",$C$5:$C$32,"run_02",$D$5:$D$32,B57)</f>
        <v/>
      </c>
      <c r="F57" s="103">
        <f>COUNTIFS($B$5:$B$32,"Pipeline",$C$5:$C$32,"run_03",$D$5:$D$32,B57)</f>
        <v/>
      </c>
      <c r="G57" s="103">
        <f>AVERAGE(D57:F57)</f>
        <v/>
      </c>
    </row>
    <row r="58" ht="14.4" customHeight="1">
      <c r="A58" s="103" t="inlineStr">
        <is>
          <t>M11</t>
        </is>
      </c>
      <c r="B58" s="103" t="inlineStr">
        <is>
          <t>Diseño</t>
        </is>
      </c>
      <c r="C58" s="103">
        <f>COUNTIFS($B$5:$B$32,"Baseline",$D$5:$D$32,B58)</f>
        <v/>
      </c>
      <c r="D58" s="103">
        <f>COUNTIFS($B$5:$B$32,"Pipeline",$C$5:$C$32,"run_01",$D$5:$D$32,B58)</f>
        <v/>
      </c>
      <c r="E58" s="103">
        <f>COUNTIFS($B$5:$B$32,"Pipeline",$C$5:$C$32,"run_02",$D$5:$D$32,B58)</f>
        <v/>
      </c>
      <c r="F58" s="103">
        <f>COUNTIFS($B$5:$B$32,"Pipeline",$C$5:$C$32,"run_03",$D$5:$D$32,B58)</f>
        <v/>
      </c>
      <c r="G58" s="103">
        <f>AVERAGE(D58:F58)</f>
        <v/>
      </c>
    </row>
    <row r="59" ht="14.4" customHeight="1">
      <c r="A59" s="103" t="inlineStr">
        <is>
          <t>M11</t>
        </is>
      </c>
      <c r="B59" s="103" t="inlineStr">
        <is>
          <t>Sprint 1</t>
        </is>
      </c>
      <c r="C59" s="103">
        <f>COUNTIFS($B$5:$B$32,"Baseline",$D$5:$D$32,B59)</f>
        <v/>
      </c>
      <c r="D59" s="103">
        <f>COUNTIFS($B$5:$B$32,"Pipeline",$C$5:$C$32,"run_01",$D$5:$D$32,B59)</f>
        <v/>
      </c>
      <c r="E59" s="103">
        <f>COUNTIFS($B$5:$B$32,"Pipeline",$C$5:$C$32,"run_02",$D$5:$D$32,B59)</f>
        <v/>
      </c>
      <c r="F59" s="103">
        <f>COUNTIFS($B$5:$B$32,"Pipeline",$C$5:$C$32,"run_03",$D$5:$D$32,B59)</f>
        <v/>
      </c>
      <c r="G59" s="103">
        <f>AVERAGE(D59:F59)</f>
        <v/>
      </c>
    </row>
    <row r="60" ht="14.4" customHeight="1">
      <c r="A60" s="103" t="inlineStr">
        <is>
          <t>M11</t>
        </is>
      </c>
      <c r="B60" s="103" t="inlineStr">
        <is>
          <t>Sprint 2</t>
        </is>
      </c>
      <c r="C60" s="103">
        <f>COUNTIFS($B$5:$B$32,"Baseline",$D$5:$D$32,B60)</f>
        <v/>
      </c>
      <c r="D60" s="103">
        <f>COUNTIFS($B$5:$B$32,"Pipeline",$C$5:$C$32,"run_01",$D$5:$D$32,B60)</f>
        <v/>
      </c>
      <c r="E60" s="103">
        <f>COUNTIFS($B$5:$B$32,"Pipeline",$C$5:$C$32,"run_02",$D$5:$D$32,B60)</f>
        <v/>
      </c>
      <c r="F60" s="103">
        <f>COUNTIFS($B$5:$B$32,"Pipeline",$C$5:$C$32,"run_03",$D$5:$D$32,B60)</f>
        <v/>
      </c>
      <c r="G60" s="103">
        <f>AVERAGE(D60:F60)</f>
        <v/>
      </c>
    </row>
    <row r="61" ht="14.4" customHeight="1">
      <c r="A61" s="103" t="inlineStr">
        <is>
          <t>M11</t>
        </is>
      </c>
      <c r="B61" s="103" t="inlineStr">
        <is>
          <t>Sprint 3</t>
        </is>
      </c>
      <c r="C61" s="103">
        <f>COUNTIFS($B$5:$B$32,"Baseline",$D$5:$D$32,B61)</f>
        <v/>
      </c>
      <c r="D61" s="103">
        <f>COUNTIFS($B$5:$B$32,"Pipeline",$C$5:$C$32,"run_01",$D$5:$D$32,B61)</f>
        <v/>
      </c>
      <c r="E61" s="103">
        <f>COUNTIFS($B$5:$B$32,"Pipeline",$C$5:$C$32,"run_02",$D$5:$D$32,B61)</f>
        <v/>
      </c>
      <c r="F61" s="103">
        <f>COUNTIFS($B$5:$B$32,"Pipeline",$C$5:$C$32,"run_03",$D$5:$D$32,B61)</f>
        <v/>
      </c>
      <c r="G61" s="103">
        <f>AVERAGE(D61:F61)</f>
        <v/>
      </c>
    </row>
    <row r="62">
      <c r="A62" s="102" t="n"/>
      <c r="B62" s="101" t="n"/>
      <c r="C62" s="101" t="n"/>
      <c r="D62" s="101" t="n"/>
      <c r="E62" s="101" t="n"/>
      <c r="F62" s="101" t="n"/>
      <c r="G62" s="101" t="n"/>
    </row>
    <row r="63" ht="14.4" customHeight="1">
      <c r="A63" s="103" t="inlineStr">
        <is>
          <t>M12</t>
        </is>
      </c>
      <c r="B63" s="103" t="inlineStr">
        <is>
          <t>Coste de corrección total (min)</t>
        </is>
      </c>
      <c r="C63" s="103">
        <f>SUMIFS($H$5:$H$32,$B$5:$B$32,"Baseline")</f>
        <v/>
      </c>
      <c r="D63" s="103">
        <f>SUMIFS($H$5:$H$32,$B$5:$B$32,"Pipeline",$C$5:$C$32,"run_01")</f>
        <v/>
      </c>
      <c r="E63" s="103">
        <f>SUMIFS($H$5:$H$32,$B$5:$B$32,"Pipeline",$C$5:$C$32,"run_02")</f>
        <v/>
      </c>
      <c r="F63" s="103">
        <f>SUMIFS($H$5:$H$32,$B$5:$B$32,"Pipeline",$C$5:$C$32,"run_03")</f>
        <v/>
      </c>
      <c r="G63" s="103">
        <f>AVERAGE(D63:F63)</f>
        <v/>
      </c>
    </row>
    <row r="64" ht="14.4" customHeight="1">
      <c r="A64" s="103" t="inlineStr">
        <is>
          <t>M12</t>
        </is>
      </c>
      <c r="B64" s="103" t="inlineStr">
        <is>
          <t>Coste de corrección total (min)</t>
        </is>
      </c>
      <c r="C64" s="103">
        <f>COUNTIFS($B$5:$B$32,"Baseline",$H$5:$H$32,"&gt;0")</f>
        <v/>
      </c>
      <c r="D64" s="103">
        <f>COUNTIFS($B$5:$B$32,"Pipeline",$C$5:$C$32,"run_01",$H$5:$H$32,"&gt;0")</f>
        <v/>
      </c>
      <c r="E64" s="103">
        <f>COUNTIFS($B$5:$B$32,"Pipeline",$C$5:$C$32,"run_02",$H$5:$H$32,"&gt;0")</f>
        <v/>
      </c>
      <c r="F64" s="103">
        <f>COUNTIFS($B$5:$B$32,"Pipeline",$C$5:$C$32,"run_03",$H$5:$H$32,"&gt;0")</f>
        <v/>
      </c>
      <c r="G64" s="103">
        <f>AVERAGE(D64:F64)</f>
        <v/>
      </c>
    </row>
  </sheetData>
  <mergeCells count="5">
    <mergeCell ref="A2:L2"/>
    <mergeCell ref="A44:G44"/>
    <mergeCell ref="A42:F42"/>
    <mergeCell ref="A1:L1"/>
    <mergeCell ref="A40:E40"/>
  </mergeCells>
  <dataValidations count="7">
    <dataValidation sqref="B5:B39 B41" showDropDown="0" showInputMessage="0" showErrorMessage="0" allowBlank="1" type="list">
      <formula1>"Baseline,Pipeline"</formula1>
      <formula2>0</formula2>
    </dataValidation>
    <dataValidation sqref="C5:C39 C41" showDropDown="0" showInputMessage="0" showErrorMessage="0" allowBlank="1" type="list">
      <formula1>"—,run_01,run_02,run_03"</formula1>
      <formula2>0</formula2>
    </dataValidation>
    <dataValidation sqref="D5:D39 D41" showDropDown="0" showInputMessage="0" showErrorMessage="0" allowBlank="1" type="list">
      <formula1>"Requisitos,Planificación,Diseño,Sprint 1,Sprint 2,Sprint 3,Validación,Cierre"</formula1>
      <formula2>0</formula2>
    </dataValidation>
    <dataValidation sqref="E5:E39 E41" showDropDown="0" showInputMessage="0" showErrorMessage="0" allowBlank="1" type="list">
      <formula1>"Deriva de alcance,Error funcional,Error técnico,Incoherencia documental,Fallo de validación,Otro"</formula1>
      <formula2>0</formula2>
    </dataValidation>
    <dataValidation sqref="F5:F41" showDropDown="0" showInputMessage="0" showErrorMessage="0" allowBlank="1" type="list">
      <formula1>"Stakeholder,Agente,Humano,Validación,Otro"</formula1>
      <formula2>0</formula2>
    </dataValidation>
    <dataValidation sqref="G5:G41" showDropDown="0" showInputMessage="0" showErrorMessage="0" allowBlank="1" type="list">
      <formula1>"Baja,Media,Alta,Crítica"</formula1>
      <formula2>0</formula2>
    </dataValidation>
    <dataValidation sqref="I5:J41" showDropDown="0" showInputMessage="0" showErrorMessage="0" allowBlank="1" type="list">
      <formula1>"Sí,No"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8"/>
  <sheetViews>
    <sheetView zoomScale="70" zoomScaleNormal="70" workbookViewId="0">
      <pane ySplit="4" topLeftCell="A8" activePane="bottomLeft" state="frozen"/>
      <selection pane="bottomLeft" activeCell="D54" sqref="D54"/>
    </sheetView>
  </sheetViews>
  <sheetFormatPr baseColWidth="10" defaultColWidth="8.6640625" defaultRowHeight="13.2"/>
  <cols>
    <col width="12.44140625" customWidth="1" style="198" min="1" max="1"/>
    <col width="21.5546875" bestFit="1" customWidth="1" style="199" min="2" max="2"/>
    <col width="18" customWidth="1" style="198" min="3" max="3"/>
    <col width="65.109375" customWidth="1" style="200" min="4" max="4"/>
    <col width="58.109375" customWidth="1" style="200" min="5" max="5"/>
    <col width="29.88671875" bestFit="1" customWidth="1" style="199" min="6" max="6"/>
    <col width="8.6640625" customWidth="1" style="200" min="7" max="11"/>
    <col width="8.6640625" customWidth="1" style="200" min="12" max="16384"/>
  </cols>
  <sheetData>
    <row r="1">
      <c r="A1" s="215" t="inlineStr">
        <is>
          <t>08b — Bitácora auxiliar de decisiones del pipeline</t>
        </is>
      </c>
    </row>
    <row r="2">
      <c r="A2" s="214" t="inlineStr">
        <is>
          <t>NO entra en H3 ni en métricas del contraste.</t>
        </is>
      </c>
    </row>
    <row r="4" ht="22.2" customHeight="1">
      <c r="A4" s="23" t="inlineStr">
        <is>
          <t>Fecha</t>
        </is>
      </c>
      <c r="B4" s="23" t="inlineStr">
        <is>
          <t>Hito / Run</t>
        </is>
      </c>
      <c r="C4" s="23" t="inlineStr">
        <is>
          <t>Categoría</t>
        </is>
      </c>
      <c r="D4" s="23" t="inlineStr">
        <is>
          <t>Decisión / Evento metodológico</t>
        </is>
      </c>
      <c r="E4" s="23" t="inlineStr">
        <is>
          <t>Justificación breve</t>
        </is>
      </c>
      <c r="F4" s="23" t="inlineStr">
        <is>
          <t>Referencia bitácora</t>
        </is>
      </c>
    </row>
    <row r="5" ht="39.6" customHeight="1">
      <c r="A5" s="24" t="inlineStr">
        <is>
          <t>2026-04-24</t>
        </is>
      </c>
      <c r="B5" s="24" t="inlineStr">
        <is>
          <t>Caso 02 → reinicio</t>
        </is>
      </c>
      <c r="C5" s="24" t="inlineStr">
        <is>
          <t>Reinicio controlado</t>
        </is>
      </c>
      <c r="D5" s="25" t="inlineStr">
        <is>
          <t>Diagnóstico del Caso 02 (pipeline previo bloqueado por descomposición en contratos congelados sobre brief de películas, no de Hundidos) y decisión de reinicio controlado del pipeline.</t>
        </is>
      </c>
      <c r="E5" s="25" t="inlineStr">
        <is>
          <t>Se detectó patrón de sobreingeniería: priorizar contratos antes que recorrido end-to-end. Reorientación a flujo por fases con agentes y validación humana.</t>
        </is>
      </c>
      <c r="F5" s="26" t="inlineStr">
        <is>
          <t>Bitácora 2026-04-24 (entrada 1).</t>
        </is>
      </c>
    </row>
    <row r="6" ht="26.4" customHeight="1">
      <c r="A6" s="27" t="inlineStr">
        <is>
          <t>2026-04-24</t>
        </is>
      </c>
      <c r="B6" s="27" t="inlineStr">
        <is>
          <t>Caso 02</t>
        </is>
      </c>
      <c r="C6" s="27" t="inlineStr">
        <is>
          <t>Decisión metodológica</t>
        </is>
      </c>
      <c r="D6" s="28" t="inlineStr">
        <is>
          <t>Definición de brief.md y gates humanos como elementos centrales del pipeline.</t>
        </is>
      </c>
      <c r="E6" s="28" t="inlineStr">
        <is>
          <t>Brief congelado como única fuente de verdad de entrada; gates humanos como puntos de control auditables.</t>
        </is>
      </c>
      <c r="F6" s="29" t="inlineStr">
        <is>
          <t>Bitácora 2026-04-24 (entrada 2).</t>
        </is>
      </c>
    </row>
    <row r="7" ht="26.4" customHeight="1">
      <c r="A7" s="24" t="inlineStr">
        <is>
          <t>2026-04-24</t>
        </is>
      </c>
      <c r="B7" s="24" t="inlineStr">
        <is>
          <t>Caso 02</t>
        </is>
      </c>
      <c r="C7" s="24" t="inlineStr">
        <is>
          <t>Decisión metodológica</t>
        </is>
      </c>
      <c r="D7" s="25" t="inlineStr">
        <is>
          <t>Congelación del pipeline_specs.md como documento técnico interno de especificación del pipeline.</t>
        </is>
      </c>
      <c r="E7" s="25" t="inlineStr">
        <is>
          <t>Materialización del principio de versión congelada hasheable.</t>
        </is>
      </c>
      <c r="F7" s="26" t="inlineStr">
        <is>
          <t>Bitácora 2026-04-24 (entrada 3).</t>
        </is>
      </c>
    </row>
    <row r="8" ht="26.4" customHeight="1">
      <c r="A8" s="27" t="inlineStr">
        <is>
          <t>2026-04-24</t>
        </is>
      </c>
      <c r="B8" s="27" t="inlineStr">
        <is>
          <t>Caso 02</t>
        </is>
      </c>
      <c r="C8" s="27" t="inlineStr">
        <is>
          <t>Decisión técnica</t>
        </is>
      </c>
      <c r="D8" s="28" t="inlineStr">
        <is>
          <t>Adopción de output_pydantic en tasks.yaml para validación inmediata de salidas del agente contra esquemas Pydantic.</t>
        </is>
      </c>
      <c r="E8" s="28" t="inlineStr">
        <is>
          <t>Elimina vía de alucinación al rechazar de forma estricta salidas no conformes al esquema.</t>
        </is>
      </c>
      <c r="F8" s="29" t="inlineStr">
        <is>
          <t>Bitácora 2026-04-24 (entrada 4).</t>
        </is>
      </c>
    </row>
    <row r="9" ht="26.4" customHeight="1">
      <c r="A9" s="24" t="inlineStr">
        <is>
          <t>2026-04-24</t>
        </is>
      </c>
      <c r="B9" s="24" t="inlineStr">
        <is>
          <t>Caso 02</t>
        </is>
      </c>
      <c r="C9" s="24" t="inlineStr">
        <is>
          <t>Construcción</t>
        </is>
      </c>
      <c r="D9" s="25" t="inlineStr">
        <is>
          <t>Preparación de la base técnica del pipeline (estructura de directorios, dependencias, configuración inicial).</t>
        </is>
      </c>
      <c r="E9" s="25" t="inlineStr">
        <is>
          <t>Fase preparatoria antes de implementar la primera crew.</t>
        </is>
      </c>
      <c r="F9" s="26" t="inlineStr">
        <is>
          <t>Bitácora 2026-04-24 (entrada 5).</t>
        </is>
      </c>
    </row>
    <row r="10" ht="26.4" customHeight="1">
      <c r="A10" s="27" t="inlineStr">
        <is>
          <t>2026-04-24</t>
        </is>
      </c>
      <c r="B10" s="27" t="inlineStr">
        <is>
          <t>Caso 02</t>
        </is>
      </c>
      <c r="C10" s="27" t="inlineStr">
        <is>
          <t>Construcción</t>
        </is>
      </c>
      <c r="D10" s="28" t="inlineStr">
        <is>
          <t>Implementación inicial de requisitos_crew (primer agente del pipeline).</t>
        </is>
      </c>
      <c r="E10" s="28" t="inlineStr">
        <is>
          <t>Prueba de concepto del patrón una-crew-por-fase con CrewAI.</t>
        </is>
      </c>
      <c r="F10" s="29" t="inlineStr">
        <is>
          <t>Bitácora 2026-04-24 (entradas 6-9).</t>
        </is>
      </c>
    </row>
    <row r="11" ht="26.4" customHeight="1">
      <c r="A11" s="24" t="inlineStr">
        <is>
          <t>2026-04-24</t>
        </is>
      </c>
      <c r="B11" s="24" t="inlineStr">
        <is>
          <t>Caso 02</t>
        </is>
      </c>
      <c r="C11" s="24" t="inlineStr">
        <is>
          <t>Decisión técnica</t>
        </is>
      </c>
      <c r="D11" s="25" t="inlineStr">
        <is>
          <t>Configuración Modelfile derivado (hundidos-analista) con parámetros bakeados: num_ctx=8192, temperature=0.2, top_p=0.9, seed=42.</t>
        </is>
      </c>
      <c r="E11" s="25" t="inlineStr">
        <is>
          <t>Trazabilidad apunta a artefacto hashable y no a argumentos pasados en tiempo de ejecución.</t>
        </is>
      </c>
      <c r="F11" s="26" t="inlineStr">
        <is>
          <t>Bitácora 2026-04-24 (entrada 10).</t>
        </is>
      </c>
    </row>
    <row r="12" ht="26.4" customHeight="1">
      <c r="A12" s="27" t="inlineStr">
        <is>
          <t>2026-04-24</t>
        </is>
      </c>
      <c r="B12" s="27" t="inlineStr">
        <is>
          <t>Caso 02</t>
        </is>
      </c>
      <c r="C12" s="27" t="inlineStr">
        <is>
          <t>Incidencia construcción</t>
        </is>
      </c>
      <c r="D12" s="28" t="inlineStr">
        <is>
          <t>Error de primera ejecución: Completions.create() got an unexpected keyword argument. Problema de compatibilidad del cliente con la API.</t>
        </is>
      </c>
      <c r="E12" s="28" t="inlineStr">
        <is>
          <t>Resuelto ajustando argumentos del cliente. Documentado pero no relevante para H3.</t>
        </is>
      </c>
      <c r="F12" s="29" t="inlineStr">
        <is>
          <t>Bitácora 2026-04-24 (entrada 11).</t>
        </is>
      </c>
    </row>
    <row r="13" ht="26.4" customHeight="1">
      <c r="A13" s="24" t="inlineStr">
        <is>
          <t>2026-04-25</t>
        </is>
      </c>
      <c r="B13" s="24" t="inlineStr">
        <is>
          <t>Run 1 (Caso 02)</t>
        </is>
      </c>
      <c r="C13" s="24" t="inlineStr">
        <is>
          <t>Incidencia construcción</t>
        </is>
      </c>
      <c r="D13" s="25" t="inlineStr">
        <is>
          <t>Run 1 rechazado: el registro de requisitos cumple mínimos cuantitativos pero omite subsecciones del brief.</t>
        </is>
      </c>
      <c r="E13" s="25" t="inlineStr">
        <is>
          <t>Motivó la iteración del prompt del Analista para incluir reglas de cobertura cualitativa explícitas.</t>
        </is>
      </c>
      <c r="F13" s="26" t="inlineStr">
        <is>
          <t>Bitácora 2026-04-25 (cierre fase 01).</t>
        </is>
      </c>
    </row>
    <row r="14" ht="39.6" customHeight="1">
      <c r="A14" s="27" t="inlineStr">
        <is>
          <t>2026-04-25</t>
        </is>
      </c>
      <c r="B14" s="27" t="inlineStr">
        <is>
          <t>Run 2 (Caso 02)</t>
        </is>
      </c>
      <c r="C14" s="27" t="inlineStr">
        <is>
          <t>Aceptación con observaciones</t>
        </is>
      </c>
      <c r="D14" s="28" t="inlineStr">
        <is>
          <t>Run 2 aceptado tras correcciones del prompt; el LLM 7B optimiza umbrales numéricos pero requiere reglas cualitativas explícitas.</t>
        </is>
      </c>
      <c r="E14" s="28" t="inlineStr">
        <is>
          <t>Confirmación del patrón: umbrales numéricos solos son insuficientes; hace falta listado enumerado de subsecciones esperadas.</t>
        </is>
      </c>
      <c r="F14" s="29" t="inlineStr">
        <is>
          <t>Bitácora 2026-04-25 (cierre fase 01).</t>
        </is>
      </c>
    </row>
    <row r="15" ht="26.4" customHeight="1">
      <c r="A15" s="24" t="inlineStr">
        <is>
          <t>2026-04-25</t>
        </is>
      </c>
      <c r="B15" s="24" t="inlineStr">
        <is>
          <t>Plan fase 02</t>
        </is>
      </c>
      <c r="C15" s="24" t="inlineStr">
        <is>
          <t>Plan</t>
        </is>
      </c>
      <c r="D15" s="25" t="inlineStr">
        <is>
          <t>Plan de implementación de la fase 02 (planificación) en el Flow.</t>
        </is>
      </c>
      <c r="E15" s="25" t="inlineStr">
        <is>
          <t>Apertura del ciclo de construcción del agente PM.</t>
        </is>
      </c>
      <c r="F15" s="26" t="inlineStr">
        <is>
          <t>Bitácora 2026-04-25 (plan fase 02).</t>
        </is>
      </c>
    </row>
    <row r="16" ht="26.4" customHeight="1">
      <c r="A16" s="27" t="inlineStr">
        <is>
          <t>2026-04-25</t>
        </is>
      </c>
      <c r="B16" s="27" t="inlineStr">
        <is>
          <t>Caso 02</t>
        </is>
      </c>
      <c r="C16" s="27" t="inlineStr">
        <is>
          <t>Consideración pendiente</t>
        </is>
      </c>
      <c r="D16" s="28" t="inlineStr">
        <is>
          <t>Consideraciones iniciales sobre uso de modelos cloud como alternativa a Ollama local.</t>
        </is>
      </c>
      <c r="E16" s="28" t="inlineStr">
        <is>
          <t>Primer registro de la posibilidad de migrar a cloud por restricciones de hardware (VRAM 4GB).</t>
        </is>
      </c>
      <c r="F16" s="29" t="inlineStr">
        <is>
          <t>Bitácora 2026-04-25 (consideraciones cloud).</t>
        </is>
      </c>
    </row>
    <row r="17" ht="26.4" customHeight="1">
      <c r="A17" s="24" t="inlineStr">
        <is>
          <t>2026-05-07</t>
        </is>
      </c>
      <c r="B17" s="24" t="inlineStr">
        <is>
          <t>Migración</t>
        </is>
      </c>
      <c r="C17" s="24" t="inlineStr">
        <is>
          <t>Decisión arquitectónica</t>
        </is>
      </c>
      <c r="D17" s="25" t="inlineStr">
        <is>
          <t>Migración del orquestador a CrewAI Flow (Subpaso 8a): adopción de @start, @listen y secuencia explícita de pasos.</t>
        </is>
      </c>
      <c r="E17" s="25" t="inlineStr">
        <is>
          <t>Representación explícita del flujo facilita congelación, hashing e inspección.</t>
        </is>
      </c>
      <c r="F17" s="26" t="inlineStr">
        <is>
          <t>Bitácora 2026-05-07 (8a).</t>
        </is>
      </c>
    </row>
    <row r="18" ht="26.4" customHeight="1">
      <c r="A18" s="27" t="inlineStr">
        <is>
          <t>2026-05-07</t>
        </is>
      </c>
      <c r="B18" s="27" t="inlineStr">
        <is>
          <t>Bug cliente</t>
        </is>
      </c>
      <c r="C18" s="27" t="inlineStr">
        <is>
          <t>Incidencia construcción</t>
        </is>
      </c>
      <c r="D18" s="28" t="inlineStr">
        <is>
          <t>Bug del cliente OpenAI-compatible y timeouts dentro del Flow.</t>
        </is>
      </c>
      <c r="E18" s="28" t="inlineStr">
        <is>
          <t>Resuelto ajustando el cliente. No relevante para H3.</t>
        </is>
      </c>
      <c r="F18" s="29" t="inlineStr">
        <is>
          <t>Bitácora 2026-05-07 (bug cliente).</t>
        </is>
      </c>
    </row>
    <row r="19" ht="26.4" customHeight="1">
      <c r="A19" s="24" t="inlineStr">
        <is>
          <t>2026-05-08</t>
        </is>
      </c>
      <c r="B19" s="24" t="inlineStr">
        <is>
          <t>Ciclo gate completo</t>
        </is>
      </c>
      <c r="C19" s="24" t="inlineStr">
        <is>
          <t>Hito metodológico</t>
        </is>
      </c>
      <c r="D19" s="25" t="inlineStr">
        <is>
          <t>Cierre de fase 01 dentro del Flow con ciclo de gate humano completo (aceptar / rechazar / abortar).</t>
        </is>
      </c>
      <c r="E19" s="25" t="inlineStr">
        <is>
          <t>Primera vez que el ciclo de gate funciona end-to-end con feedback inyectado al prompt en regeneración.</t>
        </is>
      </c>
      <c r="F19" s="26" t="inlineStr">
        <is>
          <t>Bitácora 2026-05-08 (cierre fase 01 + 8b + 8c).</t>
        </is>
      </c>
    </row>
    <row r="20" ht="26.4" customHeight="1">
      <c r="A20" s="30" t="inlineStr">
        <is>
          <t>2026-05-08</t>
        </is>
      </c>
      <c r="B20" s="30" t="inlineStr">
        <is>
          <t>Decisión metodológica</t>
        </is>
      </c>
      <c r="C20" s="30" t="inlineStr">
        <is>
          <t>Decisión metodológica clave</t>
        </is>
      </c>
      <c r="D20" s="31" t="inlineStr">
        <is>
          <t>Descarte de la alternativa @human_feedback nativo de CrewAI a favor de gate humano programático propio.</t>
        </is>
      </c>
      <c r="E20" s="31" t="inlineStr">
        <is>
          <t>Mayor control sobre la decisión, trazabilidad explícita en gate_humano.md, separación entre evidencia y mecanismo.</t>
        </is>
      </c>
      <c r="F20" s="32" t="inlineStr">
        <is>
          <t>Bitácora 2026-05-08 (alternativa descartada).</t>
        </is>
      </c>
    </row>
    <row r="21" ht="39.6" customHeight="1">
      <c r="A21" s="24" t="inlineStr">
        <is>
          <t>2026-05-08</t>
        </is>
      </c>
      <c r="B21" s="24" t="inlineStr">
        <is>
          <t>Observación</t>
        </is>
      </c>
      <c r="C21" s="24" t="inlineStr">
        <is>
          <t>Observación</t>
        </is>
      </c>
      <c r="D21" s="25" t="inlineStr">
        <is>
          <t>Observación sobre la dinámica del feedback: la regeneración modifica partes del artefacto no señaladas por el operador.</t>
        </is>
      </c>
      <c r="E21" s="25" t="inlineStr">
        <is>
          <t>Asumido como propiedad estructural del mecanismo (no es edición incremental sino reformulación de tarea). Documentado en §6.4.3 del TFG.</t>
        </is>
      </c>
      <c r="F21" s="26" t="inlineStr">
        <is>
          <t>Bitácora 2026-05-08 (dinámica feedback).</t>
        </is>
      </c>
    </row>
    <row r="22">
      <c r="A22" s="27" t="inlineStr">
        <is>
          <t>2026-05-09</t>
        </is>
      </c>
      <c r="B22" s="27" t="inlineStr">
        <is>
          <t>Construcción fase 02</t>
        </is>
      </c>
      <c r="C22" s="27" t="inlineStr">
        <is>
          <t>Construcción</t>
        </is>
      </c>
      <c r="D22" s="28" t="inlineStr">
        <is>
          <t>Subpasos 8d-8f: implementación de planificacion_crew y gate 2.</t>
        </is>
      </c>
      <c r="E22" s="28" t="inlineStr">
        <is>
          <t>Construcción del agente PM y del segundo gate humano.</t>
        </is>
      </c>
      <c r="F22" s="29" t="inlineStr">
        <is>
          <t>Bitácora 2026-05-09 (8d, 8e, 8f).</t>
        </is>
      </c>
    </row>
    <row r="23" ht="26.4" customHeight="1">
      <c r="A23" s="30" t="inlineStr">
        <is>
          <t>2026-05-09</t>
        </is>
      </c>
      <c r="B23" s="30" t="inlineStr">
        <is>
          <t>Decisión metodológica</t>
        </is>
      </c>
      <c r="C23" s="30" t="inlineStr">
        <is>
          <t>Decisión metodológica clave</t>
        </is>
      </c>
      <c r="D23" s="31" t="inlineStr">
        <is>
          <t>Los riesgos del proceso IA (variabilidad, alucinaciones, deriva del agente) se documentan FUERA del run (en la bitácora), no por el agente PM.</t>
        </is>
      </c>
      <c r="E23" s="31" t="inlineStr">
        <is>
          <t>Preserva la simetría con el Registro de Riesgos del baseline humano: el PM evalúa riesgos del proyecto, no del instrumento.</t>
        </is>
      </c>
      <c r="F23" s="32" t="inlineStr">
        <is>
          <t>Bitácora 2026-05-09 (riesgos proyecto vs IA).</t>
        </is>
      </c>
    </row>
    <row r="24" ht="26.4" customHeight="1">
      <c r="A24" s="27" t="inlineStr">
        <is>
          <t>2026-05-09</t>
        </is>
      </c>
      <c r="B24" s="27" t="inlineStr">
        <is>
          <t>Observación gate 2</t>
        </is>
      </c>
      <c r="C24" s="27" t="inlineStr">
        <is>
          <t>Observación</t>
        </is>
      </c>
      <c r="D24" s="28" t="inlineStr">
        <is>
          <t>Observación sobre la dinámica del gate_humano para planificacion: efectos del feedback en regeneración.</t>
        </is>
      </c>
      <c r="E24" s="28" t="inlineStr">
        <is>
          <t>Confirmación adicional de la propiedad estructural del mecanismo.</t>
        </is>
      </c>
      <c r="F24" s="29" t="inlineStr">
        <is>
          <t>Bitácora 2026-05-09 (observación gate 2).</t>
        </is>
      </c>
    </row>
    <row r="25" ht="26.4" customHeight="1">
      <c r="A25" s="30" t="inlineStr">
        <is>
          <t>2026-05-10</t>
        </is>
      </c>
      <c r="B25" s="30" t="inlineStr">
        <is>
          <t>Migración cloud</t>
        </is>
      </c>
      <c r="C25" s="30" t="inlineStr">
        <is>
          <t>Decisión metodológica clave</t>
        </is>
      </c>
      <c r="D25" s="31" t="inlineStr">
        <is>
          <t>Migración de fase 02 a modelo cloud por desajuste estructural entre carga estructurada del PM y capacidad del 7B local.</t>
        </is>
      </c>
      <c r="E25" s="31" t="inlineStr">
        <is>
          <t>Confirmación de que el desbloqueo de planificación requiere capacidad superior a 7B/4GB VRAM. Detallado en §6.3.2 del TFG.</t>
        </is>
      </c>
      <c r="F25" s="32" t="inlineStr">
        <is>
          <t>Bitácora 2026-05-10 (migración fase 02).</t>
        </is>
      </c>
    </row>
    <row r="26" ht="26.4" customHeight="1">
      <c r="A26" s="27" t="inlineStr">
        <is>
          <t>2026-05-10</t>
        </is>
      </c>
      <c r="B26" s="27" t="inlineStr">
        <is>
          <t>Cierre end-to-end</t>
        </is>
      </c>
      <c r="C26" s="27" t="inlineStr">
        <is>
          <t>Hito metodológico</t>
        </is>
      </c>
      <c r="D26" s="28" t="inlineStr">
        <is>
          <t>Cierre end-to-end del Subpaso 8f: pipeline completo hasta fin de planificación funciona con modelo cloud.</t>
        </is>
      </c>
      <c r="E26" s="28" t="inlineStr">
        <is>
          <t>Primer recorrido completo hasta gate 2 con artefactos comparables.</t>
        </is>
      </c>
      <c r="F26" s="29" t="inlineStr">
        <is>
          <t>Bitácora 2026-05-10 (cierre 8f).</t>
        </is>
      </c>
    </row>
    <row r="27" ht="39.6" customHeight="1">
      <c r="A27" s="24" t="inlineStr">
        <is>
          <t>2026-05-11</t>
        </is>
      </c>
      <c r="B27" s="24" t="inlineStr">
        <is>
          <t>Construcción fase 03</t>
        </is>
      </c>
      <c r="C27" s="24" t="inlineStr">
        <is>
          <t>Construcción</t>
        </is>
      </c>
      <c r="D27" s="25" t="inlineStr">
        <is>
          <t>Subpasos 1a-1e: integración de fase 03 (Arquitectura) + Gate 3, DesarrolloCrew aislada, validador de arranque y review automático, integración estática de los tres sprints al Flow.</t>
        </is>
      </c>
      <c r="E27" s="25" t="inlineStr">
        <is>
          <t>Construcción del agente Arquitecto, del agente Desarrollador y de la cadena de validación determinista por sprint.</t>
        </is>
      </c>
      <c r="F27" s="26" t="inlineStr">
        <is>
          <t>Bitácora 2026-05-11 (subpasos 1a a 1e).</t>
        </is>
      </c>
    </row>
    <row r="28" ht="26.4" customHeight="1">
      <c r="A28" s="27" t="inlineStr">
        <is>
          <t>2026-05-12</t>
        </is>
      </c>
      <c r="B28" s="27" t="inlineStr">
        <is>
          <t>Run desarrollo</t>
        </is>
      </c>
      <c r="C28" s="27" t="inlineStr">
        <is>
          <t>Hito metodológico</t>
        </is>
      </c>
      <c r="D28" s="28" t="inlineStr">
        <is>
          <t>Ejecución completa hasta fase de desarrollo: tres intentos automáticos del Sprint 1 fallaron con error de capacidad. Sprint 0 generó 81 archivos.</t>
        </is>
      </c>
      <c r="E28" s="28" t="inlineStr">
        <is>
          <t>Motivó la introducción del scaffold como fase técnica previa y la separación generación-de-plantilla vs generación-de-funcionalidad.</t>
        </is>
      </c>
      <c r="F28" s="29" t="inlineStr">
        <is>
          <t>Bitácora 2026-05-12 (ejecución completa).</t>
        </is>
      </c>
    </row>
    <row r="29" ht="26.4" customHeight="1">
      <c r="A29" s="24" t="inlineStr">
        <is>
          <t>2026-05-13</t>
        </is>
      </c>
      <c r="B29" s="24" t="inlineStr">
        <is>
          <t>Entorno fijo</t>
        </is>
      </c>
      <c r="C29" s="24" t="inlineStr">
        <is>
          <t>Decisión técnica</t>
        </is>
      </c>
      <c r="D29" s="25" t="inlineStr">
        <is>
          <t>Decisión de entorno fijo .venv_Test para validación del producto Django generado (separado de .venv del pipeline).</t>
        </is>
      </c>
      <c r="E29" s="25" t="inlineStr">
        <is>
          <t>Evita contaminación cruzada entre dependencias del instrumento y del artefacto evaluado. Documentado en §6.3.1.</t>
        </is>
      </c>
      <c r="F29" s="26" t="inlineStr">
        <is>
          <t>Bitácora 2026-05-13 (entorno fijo).</t>
        </is>
      </c>
    </row>
    <row r="30" ht="26.4" customHeight="1">
      <c r="A30" s="27" t="inlineStr">
        <is>
          <t>2026-05-13</t>
        </is>
      </c>
      <c r="B30" s="27" t="inlineStr">
        <is>
          <t>Run 16</t>
        </is>
      </c>
      <c r="C30" s="27" t="inlineStr">
        <is>
          <t>Verificación manual</t>
        </is>
      </c>
      <c r="D30" s="28" t="inlineStr">
        <is>
          <t>Ejecución y comprobación manual del producto generado en Run 16 (run_2026-05-13_06-57).</t>
        </is>
      </c>
      <c r="E30" s="28" t="inlineStr">
        <is>
          <t>Identificación de defectos funcionales remanentes (404 en admin-panel, errores en /reserva/paso3/).</t>
        </is>
      </c>
      <c r="F30" s="29" t="inlineStr">
        <is>
          <t>Bitácora 2026-05-13 (Run 16).</t>
        </is>
      </c>
    </row>
    <row r="31" ht="26.4" customHeight="1">
      <c r="A31" s="30" t="inlineStr">
        <is>
          <t>2026-05-13</t>
        </is>
      </c>
      <c r="B31" s="30" t="inlineStr">
        <is>
          <t>Decisión metodológica</t>
        </is>
      </c>
      <c r="C31" s="30" t="inlineStr">
        <is>
          <t>Decisión metodológica clave</t>
        </is>
      </c>
      <c r="D31" s="31" t="inlineStr">
        <is>
          <t>Discusión sobre calidad, verificación y sobreingeniería: validación final determinista en lugar de agente QA basado en LLM.</t>
        </is>
      </c>
      <c r="E31" s="31" t="inlineStr">
        <is>
          <t>Reproducibilidad sobre juicio variable del LLM. Detallado en §6.7 del TFG (limitaciones de implementación).</t>
        </is>
      </c>
      <c r="F31" s="32" t="inlineStr">
        <is>
          <t>Bitácora 2026-05-13 (discusión QA).</t>
        </is>
      </c>
    </row>
    <row r="32" ht="39.6" customHeight="1">
      <c r="A32" s="27" t="inlineStr">
        <is>
          <t>2026-05-13</t>
        </is>
      </c>
      <c r="B32" s="27" t="inlineStr">
        <is>
          <t>Contrato producto</t>
        </is>
      </c>
      <c r="C32" s="27" t="inlineStr">
        <is>
          <t>Decisión técnica</t>
        </is>
      </c>
      <c r="D32" s="28" t="inlineStr">
        <is>
          <t>Implementación y ajuste del prompt del Desarrollador: contrato de producto ejecutable con presencia obligatoria de manage.py, settings.py, urls.py, migraciones, etc.</t>
        </is>
      </c>
      <c r="E32" s="28" t="inlineStr">
        <is>
          <t>Reduce la variabilidad del scaffolding y obliga al agente a producir un proyecto Django arrancable.</t>
        </is>
      </c>
      <c r="F32" s="29" t="inlineStr">
        <is>
          <t>Bitácora 2026-05-13 (prompt desarrollador).</t>
        </is>
      </c>
    </row>
    <row r="33" ht="26.4" customHeight="1">
      <c r="A33" s="30" t="inlineStr">
        <is>
          <t>2026-05-14</t>
        </is>
      </c>
      <c r="B33" s="30" t="inlineStr">
        <is>
          <t>Run 18</t>
        </is>
      </c>
      <c r="C33" s="30" t="inlineStr">
        <is>
          <t>Decisión metodológica clave</t>
        </is>
      </c>
      <c r="D33" s="31" t="inlineStr">
        <is>
          <t>Análisis de Run 18 y decisión de migrar fase 01 a cloud (uniformidad de modelo entre las 4 fases generativas).</t>
        </is>
      </c>
      <c r="E33" s="31" t="inlineStr">
        <is>
          <t>Elimina al modelo como variable confundida en el contraste de hipótesis. Documentado en §6.3.2.</t>
        </is>
      </c>
      <c r="F33" s="32" t="inlineStr">
        <is>
          <t>Bitácora 2026-05-14 (migración fase 01).</t>
        </is>
      </c>
    </row>
    <row r="34" ht="26.4" customHeight="1">
      <c r="A34" s="27" t="inlineStr">
        <is>
          <t>2026-05-14</t>
        </is>
      </c>
      <c r="B34" s="27" t="inlineStr">
        <is>
          <t>Review incremental</t>
        </is>
      </c>
      <c r="C34" s="27" t="inlineStr">
        <is>
          <t>Decisión técnica</t>
        </is>
      </c>
      <c r="D34" s="28" t="inlineStr">
        <is>
          <t>Mejora del review automático incremental: cada sprint recibe el review del sprint anterior como contexto.</t>
        </is>
      </c>
      <c r="E34" s="28" t="inlineStr">
        <is>
          <t>Permite al Desarrollador conocer las incidencias previas y aprovecharlas para mejorar el siguiente sprint.</t>
        </is>
      </c>
      <c r="F34" s="29" t="inlineStr">
        <is>
          <t>Bitácora 2026-05-14 (review incremental).</t>
        </is>
      </c>
    </row>
    <row r="35" ht="26.4" customHeight="1">
      <c r="A35" s="24" t="inlineStr">
        <is>
          <t>2026-05-14</t>
        </is>
      </c>
      <c r="B35" s="24" t="inlineStr">
        <is>
          <t>Decisión PayPal</t>
        </is>
      </c>
      <c r="C35" s="24" t="inlineStr">
        <is>
          <t>Decisión técnica</t>
        </is>
      </c>
      <c r="D35" s="25" t="inlineStr">
        <is>
          <t>Decisión sobre PayPal: pagos en sandbox declarados en el stack del brief.</t>
        </is>
      </c>
      <c r="E35" s="25" t="inlineStr">
        <is>
          <t>Garantiza que el agente Arquitecto genere PayPal como medio de pago alineado con el baseline.</t>
        </is>
      </c>
      <c r="F35" s="26" t="inlineStr">
        <is>
          <t>Bitácora 2026-05-14 (decisión PayPal).</t>
        </is>
      </c>
    </row>
    <row r="36" ht="39.6" customHeight="1">
      <c r="A36" s="27" t="inlineStr">
        <is>
          <t>2026-05-14</t>
        </is>
      </c>
      <c r="B36" s="27" t="inlineStr">
        <is>
          <t>Rate limit 429</t>
        </is>
      </c>
      <c r="C36" s="27" t="inlineStr">
        <is>
          <t>Decisión técnica</t>
        </is>
      </c>
      <c r="D36" s="28" t="inlineStr">
        <is>
          <t>Implementación del control de rate limit 429 con reintentos y backoff. Tras compra de crédito adicional, paso a Nivel 2 de Anthropic con 90K tokens/min de salida.</t>
        </is>
      </c>
      <c r="E36" s="28" t="inlineStr">
        <is>
          <t>Resuelto subiendo developer.max_tokens a 24000 (Run 25 lo confirma sin truncamientos).</t>
        </is>
      </c>
      <c r="F36" s="29" t="inlineStr">
        <is>
          <t>Bitácora 2026-05-14 (rate limit) + 2026-05-15 (cuota Nivel 2).</t>
        </is>
      </c>
    </row>
    <row r="37" ht="52.8" customHeight="1">
      <c r="A37" s="33" t="inlineStr">
        <is>
          <t>2026-05-15</t>
        </is>
      </c>
      <c r="B37" s="33" t="inlineStr">
        <is>
          <t>Run 25 — Congelación</t>
        </is>
      </c>
      <c r="C37" s="33" t="inlineStr">
        <is>
          <t>Hito metodológico CRÍTICO</t>
        </is>
      </c>
      <c r="D37" s="34" t="inlineStr">
        <is>
          <t>Run 25 (run_2026-05-15_11-00) ejecutado completo end-to-end sin reintentos automáticos ni regeneraciones humanas. Resultado: completo, ok_global=true, clasificación apto_para_revision_funcional. CONGELACIÓN del pipeline.</t>
        </is>
      </c>
      <c r="E37" s="34" t="inlineStr">
        <is>
          <t>A partir de este punto el pipeline queda congelado para las pruebas oficiales. No más correcciones para acomodar resultados.</t>
        </is>
      </c>
      <c r="F37" s="35" t="inlineStr">
        <is>
          <t>Bitácora 2026-05-15 (Run 25 y congelación).</t>
        </is>
      </c>
    </row>
    <row r="38" ht="66" customHeight="1">
      <c r="A38" s="33" t="inlineStr">
        <is>
          <t>2026-05-17</t>
        </is>
      </c>
      <c r="B38" s="33" t="inlineStr">
        <is>
          <t>Preflight + Re-congelación</t>
        </is>
      </c>
      <c r="C38" s="33" t="inlineStr">
        <is>
          <t>AJUSTE POST-CONGELACIÓN</t>
        </is>
      </c>
      <c r="D38" s="34" t="inlineStr">
        <is>
          <t>Preflight run_2026-05-17_18-49 falló por ModuleNotFoundError (módulo requests). Se reconstruyó .venv_Test con dependencias fijas (Django 3.2, Pillow 9.5.0, django-filter 23.1, requests 2.31.0). Además: ajuste del prompt de planificación (enriquecimiento de entregable_verificable y reubicación de riesgos por sprint).</t>
        </is>
      </c>
      <c r="E38" s="34" t="inlineStr">
        <is>
          <t>Constituye una RE-CONGELACIÓN EFECTIVA del 17/05. Las 3 runs oficiales (18-19 mayo) corren sobre esta versión. Pendiente: actualizar TFG §3.4 regla 8 y §6.3.2 reemplazando "2026-05-15" por "2026-05-17".</t>
        </is>
      </c>
      <c r="F38" s="35" t="inlineStr">
        <is>
          <t>Bitácora 2026-05-17 (preflight + ajuste planificación).</t>
        </is>
      </c>
    </row>
  </sheetData>
  <mergeCells count="2">
    <mergeCell ref="A2:F2"/>
    <mergeCell ref="A1:F1"/>
  </mergeCells>
  <pageMargins left="0.75" right="0.75" top="1" bottom="1" header="0.511811023622047" footer="0.511811023622047"/>
  <pageSetup orientation="portrait" paperSize="9" horizontalDpi="300" verticalDpi="30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0"/>
  <sheetViews>
    <sheetView zoomScale="70" zoomScaleNormal="70" workbookViewId="0">
      <selection activeCell="G24" sqref="G24"/>
    </sheetView>
  </sheetViews>
  <sheetFormatPr baseColWidth="10" defaultColWidth="8.6640625" defaultRowHeight="13.2"/>
  <cols>
    <col width="38" customWidth="1" style="200" min="1" max="1"/>
    <col width="14" customWidth="1" style="200" min="2" max="6"/>
    <col width="8.6640625" customWidth="1" style="200" min="7" max="11"/>
    <col width="8.6640625" customWidth="1" style="200" min="12" max="16384"/>
  </cols>
  <sheetData>
    <row r="1" ht="27.75" customHeight="1">
      <c r="A1" s="203" t="inlineStr">
        <is>
          <t>VD5 — Reproducibilidad caso IA (M19, M20, M21) — solo pipeline</t>
        </is>
      </c>
    </row>
    <row r="2" ht="31.5" customHeight="1">
      <c r="A2" s="197" t="inlineStr">
        <is>
          <t>Solo aplica al pipeline. Una columna por run. M19 = artefactos esperados producidos con evidencia completa. M20 = elementos regenerables (entorno, pipeline, suite). M21 = resultados con versión/hash enlazado.</t>
        </is>
      </c>
    </row>
    <row r="4" ht="14.25" customHeight="1">
      <c r="A4" s="204" t="inlineStr">
        <is>
          <t>M19 — Artefactos esperados con evidencia completa</t>
        </is>
      </c>
    </row>
    <row r="5" ht="14.25" customHeight="1">
      <c r="A5" s="5" t="inlineStr">
        <is>
          <t>Artefacto esperado</t>
        </is>
      </c>
      <c r="B5" s="5" t="inlineStr">
        <is>
          <t>Run 01</t>
        </is>
      </c>
      <c r="C5" s="5" t="inlineStr">
        <is>
          <t>Run 02</t>
        </is>
      </c>
      <c r="D5" s="5" t="inlineStr">
        <is>
          <t>Run 03</t>
        </is>
      </c>
    </row>
    <row r="6" ht="14.25" customHeight="1">
      <c r="A6" s="1" t="inlineStr">
        <is>
          <t>manifest.json</t>
        </is>
      </c>
      <c r="B6" s="6" t="inlineStr">
        <is>
          <t>Sí</t>
        </is>
      </c>
      <c r="C6" s="6" t="inlineStr">
        <is>
          <t>Sí</t>
        </is>
      </c>
      <c r="D6" s="6" t="inlineStr">
        <is>
          <t>Sí</t>
        </is>
      </c>
    </row>
    <row r="7" ht="14.25" customHeight="1">
      <c r="A7" s="1" t="inlineStr">
        <is>
          <t>run_summary.json</t>
        </is>
      </c>
      <c r="B7" s="6" t="inlineStr">
        <is>
          <t>Sí</t>
        </is>
      </c>
      <c r="C7" s="6" t="inlineStr">
        <is>
          <t>Sí</t>
        </is>
      </c>
      <c r="D7" s="6" t="inlineStr">
        <is>
          <t>Sí</t>
        </is>
      </c>
    </row>
    <row r="8" ht="14.25" customHeight="1">
      <c r="A8" s="1" t="inlineStr">
        <is>
          <t>registro_requisitos.json</t>
        </is>
      </c>
      <c r="B8" s="6" t="inlineStr">
        <is>
          <t>Sí</t>
        </is>
      </c>
      <c r="C8" s="6" t="inlineStr">
        <is>
          <t>Sí</t>
        </is>
      </c>
      <c r="D8" s="6" t="inlineStr">
        <is>
          <t>Sí</t>
        </is>
      </c>
    </row>
    <row r="9" ht="14.25" customHeight="1">
      <c r="A9" s="1" t="inlineStr">
        <is>
          <t>backlog.json</t>
        </is>
      </c>
      <c r="B9" s="6" t="inlineStr">
        <is>
          <t>Sí</t>
        </is>
      </c>
      <c r="C9" s="6" t="inlineStr">
        <is>
          <t>Sí</t>
        </is>
      </c>
      <c r="D9" s="6" t="inlineStr">
        <is>
          <t>Sí</t>
        </is>
      </c>
    </row>
    <row r="10" ht="14.25" customHeight="1">
      <c r="A10" s="1" t="inlineStr">
        <is>
          <t>plan_sprints.json</t>
        </is>
      </c>
      <c r="B10" s="6" t="inlineStr">
        <is>
          <t>Sí</t>
        </is>
      </c>
      <c r="C10" s="6" t="inlineStr">
        <is>
          <t>Sí</t>
        </is>
      </c>
      <c r="D10" s="6" t="inlineStr">
        <is>
          <t>Sí</t>
        </is>
      </c>
    </row>
    <row r="11" ht="14.25" customHeight="1">
      <c r="A11" s="1" t="inlineStr">
        <is>
          <t>riesgos.json</t>
        </is>
      </c>
      <c r="B11" s="6" t="inlineStr">
        <is>
          <t>Sí</t>
        </is>
      </c>
      <c r="C11" s="6" t="inlineStr">
        <is>
          <t>Sí</t>
        </is>
      </c>
      <c r="D11" s="6" t="inlineStr">
        <is>
          <t>Sí</t>
        </is>
      </c>
    </row>
    <row r="12" ht="14.25" customHeight="1">
      <c r="A12" s="1" t="inlineStr">
        <is>
          <t>diseno_tecnico.json</t>
        </is>
      </c>
      <c r="B12" s="6" t="inlineStr">
        <is>
          <t>Sí</t>
        </is>
      </c>
      <c r="C12" s="6" t="inlineStr">
        <is>
          <t>Sí</t>
        </is>
      </c>
      <c r="D12" s="6" t="inlineStr">
        <is>
          <t>Sí</t>
        </is>
      </c>
    </row>
    <row r="13" ht="14.25" customHeight="1">
      <c r="A13" s="1" t="inlineStr">
        <is>
          <t>review_sprint_1.json</t>
        </is>
      </c>
      <c r="B13" s="6" t="inlineStr">
        <is>
          <t>Sí</t>
        </is>
      </c>
      <c r="C13" s="6" t="inlineStr">
        <is>
          <t>Sí</t>
        </is>
      </c>
      <c r="D13" s="6" t="inlineStr">
        <is>
          <t>Sí</t>
        </is>
      </c>
    </row>
    <row r="14" ht="14.25" customHeight="1">
      <c r="A14" s="1" t="inlineStr">
        <is>
          <t>review_sprint_2.json</t>
        </is>
      </c>
      <c r="B14" s="6" t="inlineStr">
        <is>
          <t>Sí</t>
        </is>
      </c>
      <c r="C14" s="6" t="inlineStr">
        <is>
          <t>Sí</t>
        </is>
      </c>
      <c r="D14" s="6" t="inlineStr">
        <is>
          <t>Sí</t>
        </is>
      </c>
    </row>
    <row r="15" ht="14.25" customHeight="1">
      <c r="A15" s="1" t="inlineStr">
        <is>
          <t>review_sprint_3.json</t>
        </is>
      </c>
      <c r="B15" s="6" t="inlineStr">
        <is>
          <t>Sí</t>
        </is>
      </c>
      <c r="C15" s="6" t="inlineStr">
        <is>
          <t>Sí</t>
        </is>
      </c>
      <c r="D15" s="6" t="inlineStr">
        <is>
          <t>Sí</t>
        </is>
      </c>
    </row>
    <row r="16" ht="14.25" customHeight="1">
      <c r="A16" s="1" t="inlineStr">
        <is>
          <t>validacion_final.json</t>
        </is>
      </c>
      <c r="B16" s="6" t="inlineStr">
        <is>
          <t>Sí</t>
        </is>
      </c>
      <c r="C16" s="6" t="inlineStr">
        <is>
          <t>Sí</t>
        </is>
      </c>
      <c r="D16" s="6" t="inlineStr">
        <is>
          <t>Sí</t>
        </is>
      </c>
    </row>
    <row r="17" ht="14.25" customHeight="1">
      <c r="A17" s="1" t="inlineStr">
        <is>
          <t>review_final.md</t>
        </is>
      </c>
      <c r="B17" s="6" t="inlineStr">
        <is>
          <t>Sí</t>
        </is>
      </c>
      <c r="C17" s="6" t="inlineStr">
        <is>
          <t>Sí</t>
        </is>
      </c>
      <c r="D17" s="6" t="inlineStr">
        <is>
          <t>Sí</t>
        </is>
      </c>
    </row>
    <row r="18" ht="14.25" customHeight="1">
      <c r="A18" s="1" t="inlineStr">
        <is>
          <t>lecciones_aprendidas.md</t>
        </is>
      </c>
      <c r="B18" s="6" t="inlineStr">
        <is>
          <t>Sí</t>
        </is>
      </c>
      <c r="C18" s="6" t="inlineStr">
        <is>
          <t>Sí</t>
        </is>
      </c>
      <c r="D18" s="6" t="inlineStr">
        <is>
          <t>Sí</t>
        </is>
      </c>
    </row>
    <row r="19" ht="14.25" customHeight="1">
      <c r="A19" s="1" t="inlineStr">
        <is>
          <t>readme.md</t>
        </is>
      </c>
      <c r="B19" s="6" t="inlineStr">
        <is>
          <t>Sí</t>
        </is>
      </c>
      <c r="C19" s="6" t="inlineStr">
        <is>
          <t>Sí</t>
        </is>
      </c>
      <c r="D19" s="6" t="inlineStr">
        <is>
          <t>Sí</t>
        </is>
      </c>
    </row>
    <row r="20" ht="14.25" customHeight="1">
      <c r="A20" s="2" t="inlineStr">
        <is>
          <t>N total artefactos esperados</t>
        </is>
      </c>
      <c r="B20" s="9" t="n">
        <v>14</v>
      </c>
      <c r="C20" s="9" t="n">
        <v>14</v>
      </c>
      <c r="D20" s="9" t="n">
        <v>14</v>
      </c>
    </row>
    <row r="21" ht="14.25" customHeight="1">
      <c r="A21" s="3" t="inlineStr">
        <is>
          <t>N con evidencia completa (Sí)</t>
        </is>
      </c>
      <c r="B21" s="7">
        <f>COUNTIF(B6:B19,"Sí")</f>
        <v/>
      </c>
      <c r="C21" s="7">
        <f>COUNTIF(C6:C19,"Sí")</f>
        <v/>
      </c>
      <c r="D21" s="7">
        <f>COUNTIF(D6:D19,"Sí")</f>
        <v/>
      </c>
    </row>
    <row r="22" ht="14.25" customHeight="1">
      <c r="A22" s="2" t="inlineStr">
        <is>
          <t>M19 (%)</t>
        </is>
      </c>
      <c r="B22" s="8">
        <f>IF(B20&gt;0,B21/B20*100,0)</f>
        <v/>
      </c>
      <c r="C22" s="8">
        <f>IF(C20&gt;0,C21/C20*100,0)</f>
        <v/>
      </c>
      <c r="D22" s="8">
        <f>IF(D20&gt;0,D21/D20*100,0)</f>
        <v/>
      </c>
    </row>
    <row r="25" ht="14.25" customHeight="1">
      <c r="A25" s="204" t="inlineStr">
        <is>
          <t>M20 — Regenerabilidad</t>
        </is>
      </c>
    </row>
    <row r="26" ht="14.25" customHeight="1">
      <c r="A26" s="5" t="inlineStr">
        <is>
          <t>Elemento</t>
        </is>
      </c>
      <c r="B26" s="5" t="inlineStr">
        <is>
          <t>Run 01</t>
        </is>
      </c>
      <c r="C26" s="5" t="inlineStr">
        <is>
          <t>Run 02</t>
        </is>
      </c>
      <c r="D26" s="5" t="inlineStr">
        <is>
          <t>Run 03</t>
        </is>
      </c>
    </row>
    <row r="27" ht="14.25" customHeight="1">
      <c r="A27" s="1" t="inlineStr">
        <is>
          <t>Entorno reproducible</t>
        </is>
      </c>
      <c r="B27" s="6" t="inlineStr">
        <is>
          <t>Sí</t>
        </is>
      </c>
      <c r="C27" s="6" t="inlineStr">
        <is>
          <t>Sí</t>
        </is>
      </c>
      <c r="D27" s="6" t="inlineStr">
        <is>
          <t>Sí</t>
        </is>
      </c>
    </row>
    <row r="28" ht="14.25" customHeight="1">
      <c r="A28" s="1" t="inlineStr">
        <is>
          <t>Pipeline completo regenerable</t>
        </is>
      </c>
      <c r="B28" s="6" t="inlineStr">
        <is>
          <t>Sí</t>
        </is>
      </c>
      <c r="C28" s="6" t="inlineStr">
        <is>
          <t>Sí</t>
        </is>
      </c>
      <c r="D28" s="6" t="inlineStr">
        <is>
          <t>Sí</t>
        </is>
      </c>
    </row>
    <row r="29" ht="14.25" customHeight="1">
      <c r="A29" s="1" t="inlineStr">
        <is>
          <t>Suite de tests regenerable</t>
        </is>
      </c>
      <c r="B29" s="6" t="inlineStr">
        <is>
          <t>Parcial</t>
        </is>
      </c>
      <c r="C29" s="6" t="inlineStr">
        <is>
          <t>Parcial</t>
        </is>
      </c>
      <c r="D29" s="6" t="inlineStr">
        <is>
          <t>Parcial</t>
        </is>
      </c>
    </row>
    <row r="30" ht="14.25" customHeight="1">
      <c r="A30" s="2" t="inlineStr">
        <is>
          <t>M20 (%)</t>
        </is>
      </c>
      <c r="B30" s="8">
        <f>COUNTIF(B27:B29,"Sí")/3*100</f>
        <v/>
      </c>
      <c r="C30" s="8">
        <f>COUNTIF(C27:C29,"Sí")/3*100</f>
        <v/>
      </c>
      <c r="D30" s="8">
        <f>COUNTIF(D27:D29,"Sí")/3*100</f>
        <v/>
      </c>
    </row>
    <row r="33" ht="14.25" customHeight="1">
      <c r="A33" s="204" t="inlineStr">
        <is>
          <t>M21 — Trazabilidad versión-resultado</t>
        </is>
      </c>
    </row>
    <row r="34" ht="14.25" customHeight="1">
      <c r="A34" s="5" t="inlineStr">
        <is>
          <t>Resultado</t>
        </is>
      </c>
      <c r="B34" s="5" t="inlineStr">
        <is>
          <t>Run 01</t>
        </is>
      </c>
      <c r="C34" s="5" t="inlineStr">
        <is>
          <t>Run 02</t>
        </is>
      </c>
      <c r="D34" s="5" t="inlineStr">
        <is>
          <t>Run 03</t>
        </is>
      </c>
    </row>
    <row r="35" ht="14.25" customHeight="1">
      <c r="A35" s="1" t="inlineStr">
        <is>
          <t>Artefactos fase Requisitos</t>
        </is>
      </c>
      <c r="B35" s="6" t="inlineStr">
        <is>
          <t>Sí</t>
        </is>
      </c>
      <c r="C35" s="6" t="inlineStr">
        <is>
          <t>Sí</t>
        </is>
      </c>
      <c r="D35" s="6" t="inlineStr">
        <is>
          <t>Sí</t>
        </is>
      </c>
    </row>
    <row r="36" ht="14.25" customHeight="1">
      <c r="A36" s="1" t="inlineStr">
        <is>
          <t>Artefactos Planificación</t>
        </is>
      </c>
      <c r="B36" s="6" t="inlineStr">
        <is>
          <t>Sí</t>
        </is>
      </c>
      <c r="C36" s="6" t="inlineStr">
        <is>
          <t>Sí</t>
        </is>
      </c>
      <c r="D36" s="6" t="inlineStr">
        <is>
          <t>Sí</t>
        </is>
      </c>
    </row>
    <row r="37" ht="14.25" customHeight="1">
      <c r="A37" s="1" t="inlineStr">
        <is>
          <t>Artefactos Diseño</t>
        </is>
      </c>
      <c r="B37" s="6" t="inlineStr">
        <is>
          <t>Sí</t>
        </is>
      </c>
      <c r="C37" s="6" t="inlineStr">
        <is>
          <t>Sí</t>
        </is>
      </c>
      <c r="D37" s="6" t="inlineStr">
        <is>
          <t>Sí</t>
        </is>
      </c>
    </row>
    <row r="38" ht="14.25" customHeight="1">
      <c r="A38" s="1" t="inlineStr">
        <is>
          <t>Entregables sprint</t>
        </is>
      </c>
      <c r="B38" s="6" t="inlineStr">
        <is>
          <t>Sí</t>
        </is>
      </c>
      <c r="C38" s="6" t="inlineStr">
        <is>
          <t>Sí</t>
        </is>
      </c>
      <c r="D38" s="6" t="inlineStr">
        <is>
          <t>Sí</t>
        </is>
      </c>
    </row>
    <row r="39" ht="14.25" customHeight="1">
      <c r="A39" s="1" t="inlineStr">
        <is>
          <t>Validación final</t>
        </is>
      </c>
      <c r="B39" s="6" t="inlineStr">
        <is>
          <t>Sí</t>
        </is>
      </c>
      <c r="C39" s="6" t="inlineStr">
        <is>
          <t>Sí</t>
        </is>
      </c>
      <c r="D39" s="6" t="inlineStr">
        <is>
          <t>Sí</t>
        </is>
      </c>
    </row>
    <row r="40" ht="14.25" customHeight="1">
      <c r="A40" s="2" t="inlineStr">
        <is>
          <t>M21 (%)</t>
        </is>
      </c>
      <c r="B40" s="8">
        <f>COUNTIF(B35:B39,"Sí")/5*100</f>
        <v/>
      </c>
      <c r="C40" s="8">
        <f>COUNTIF(C35:C39,"Sí")/5*100</f>
        <v/>
      </c>
      <c r="D40" s="8">
        <f>COUNTIF(D35:D39,"Sí")/5*100</f>
        <v/>
      </c>
    </row>
  </sheetData>
  <mergeCells count="5">
    <mergeCell ref="A2:F2"/>
    <mergeCell ref="A33:F33"/>
    <mergeCell ref="A1:F1"/>
    <mergeCell ref="A4:F4"/>
    <mergeCell ref="A25:F25"/>
  </mergeCells>
  <dataValidations count="2">
    <dataValidation sqref="B6:D19 B27:D29" showDropDown="0" showInputMessage="0" showErrorMessage="0" allowBlank="1" type="list">
      <formula1>"Sí,No,Parcial"</formula1>
      <formula2>0</formula2>
    </dataValidation>
    <dataValidation sqref="B35:D39" showDropDown="0" showInputMessage="0" showErrorMessage="0" allowBlank="1" type="list">
      <formula1>"Sí,No"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50"/>
  <sheetViews>
    <sheetView tabSelected="1" zoomScale="70" zoomScaleNormal="70" workbookViewId="0">
      <selection activeCell="A25" sqref="A25:F27"/>
    </sheetView>
  </sheetViews>
  <sheetFormatPr baseColWidth="10" defaultColWidth="8.6640625" defaultRowHeight="13.2"/>
  <cols>
    <col width="60.33203125" customWidth="1" style="18" min="1" max="1"/>
    <col width="21.6640625" customWidth="1" style="200" min="2" max="2"/>
    <col width="14" customWidth="1" style="200" min="3" max="3"/>
    <col width="15.33203125" customWidth="1" style="200" min="4" max="4"/>
    <col width="27.109375" customWidth="1" style="200" min="5" max="5"/>
    <col width="21.77734375" customWidth="1" style="200" min="6" max="6"/>
    <col width="8" customWidth="1" style="200" min="7" max="8"/>
    <col width="8.6640625" customWidth="1" style="200" min="9" max="13"/>
    <col width="8.6640625" customWidth="1" style="200" min="14" max="16384"/>
  </cols>
  <sheetData>
    <row r="1" ht="27.75" customHeight="1">
      <c r="A1" s="203" t="inlineStr">
        <is>
          <t>Resultados agregados por hipótesis</t>
        </is>
      </c>
    </row>
    <row r="2" ht="12.75" customHeight="1">
      <c r="A2" s="197" t="inlineStr">
        <is>
          <t>Esta hoja consolida los resultados de las hojas anteriores para alimentar el análisis de resultados de la memoria.</t>
        </is>
      </c>
    </row>
    <row r="4" ht="14.25" customHeight="1">
      <c r="A4" s="204" t="inlineStr">
        <is>
          <t>H2 — Calidad de artefactos (M1, M3, M4 por familia)</t>
        </is>
      </c>
    </row>
    <row r="5" ht="41.25" customHeight="1">
      <c r="A5" s="5" t="inlineStr">
        <is>
          <t>Familia</t>
        </is>
      </c>
      <c r="B5" s="5" t="inlineStr">
        <is>
          <t>Métrica</t>
        </is>
      </c>
      <c r="C5" s="5" t="inlineStr">
        <is>
          <t>Baseline</t>
        </is>
      </c>
      <c r="D5" s="5" t="inlineStr">
        <is>
          <t>Pipeline media (3 runs)</t>
        </is>
      </c>
      <c r="E5" s="5" t="inlineStr">
        <is>
          <t>Pipeline rango (min-max)</t>
        </is>
      </c>
      <c r="F5" s="5" t="inlineStr">
        <is>
          <t>Dirección (= IA≥B, 
&lt; IA&lt;B)</t>
        </is>
      </c>
    </row>
    <row r="6" ht="28.5" customHeight="1">
      <c r="A6" s="10" t="inlineStr">
        <is>
          <t>Requisitos</t>
        </is>
      </c>
      <c r="B6" s="10" t="inlineStr">
        <is>
          <t>M1</t>
        </is>
      </c>
      <c r="C6" s="12">
        <f>IFERROR(AVERAGEIFS('02_R1_sintesis_artefactos'!F:F,'02_R1_sintesis_artefactos'!B:B,"Baseline",'02_R1_sintesis_artefactos'!D:D,"Requisitos"),"—")</f>
        <v/>
      </c>
      <c r="D6" s="12">
        <f>IFERROR(AVERAGEIFS('02_R1_sintesis_artefactos'!F:F,'02_R1_sintesis_artefactos'!B:B,"Pipeline",'02_R1_sintesis_artefactos'!D:D,"Requisitos"),"—")</f>
        <v/>
      </c>
      <c r="E6" s="12">
        <f>IFERROR(_xlfn.MINIFS('02_R1_sintesis_artefactos'!F:F,'02_R1_sintesis_artefactos'!B:B,"Pipeline",'02_R1_sintesis_artefactos'!D:D,"Requisitos")&amp;" - "&amp;_xlfn.MAXIFS('02_R1_sintesis_artefactos'!F:F,'02_R1_sintesis_artefactos'!B:B,"Pipeline",'02_R1_sintesis_artefactos'!D:D,"Requisitos"),"—")</f>
        <v/>
      </c>
      <c r="F6" s="12">
        <f>IF(OR(C6="—",D6="—"),"—",IF(D6&gt;=C6,"= IA≥B (favorable)","&lt; IA&lt;B (desfavorable)"))</f>
        <v/>
      </c>
    </row>
    <row r="7" ht="14.25" customHeight="1">
      <c r="A7" s="10" t="inlineStr">
        <is>
          <t>Requisitos</t>
        </is>
      </c>
      <c r="B7" s="10" t="inlineStr">
        <is>
          <t>M3</t>
        </is>
      </c>
      <c r="C7" s="12">
        <f>IFERROR(AVERAGEIFS('02_R1_sintesis_artefactos'!H:H,'02_R1_sintesis_artefactos'!B:B,"Baseline",'02_R1_sintesis_artefactos'!D:D,"Requisitos"),"—")</f>
        <v/>
      </c>
      <c r="D7" s="12">
        <f>IFERROR(AVERAGEIFS('02_R1_sintesis_artefactos'!H:H,'02_R1_sintesis_artefactos'!B:B,"Pipeline",'02_R1_sintesis_artefactos'!D:D,"Requisitos"),"—")</f>
        <v/>
      </c>
      <c r="E7" s="12">
        <f>IFERROR(_xlfn.MINIFS('02_R1_sintesis_artefactos'!H:H,'02_R1_sintesis_artefactos'!B:B,"Pipeline",'02_R1_sintesis_artefactos'!D:D,"Requisitos")&amp;" - "&amp;_xlfn.MAXIFS('02_R1_sintesis_artefactos'!H:H,'02_R1_sintesis_artefactos'!B:B,"Pipeline",'02_R1_sintesis_artefactos'!D:D,"Requisitos"),"—")</f>
        <v/>
      </c>
      <c r="F7" s="12">
        <f>IF(OR(C7="—",D7="—"),"—",IF(D7&gt;=C7,"= IA≥B (favorable)","&lt; IA&lt;B (desfavorable)"))</f>
        <v/>
      </c>
    </row>
    <row r="8" ht="14.25" customHeight="1">
      <c r="A8" s="11" t="inlineStr">
        <is>
          <t>Requisitos</t>
        </is>
      </c>
      <c r="B8" s="11" t="inlineStr">
        <is>
          <t>M4 (%)</t>
        </is>
      </c>
      <c r="C8" s="13">
        <f>IFERROR(AVERAGEIFS('02_R1_sintesis_artefactos'!M:M,'02_R1_sintesis_artefactos'!B:B,"Baseline",'02_R1_sintesis_artefactos'!D:D,"Requisitos"),"—")</f>
        <v/>
      </c>
      <c r="D8" s="13">
        <f>IFERROR(AVERAGEIFS('02_R1_sintesis_artefactos'!M:M,'02_R1_sintesis_artefactos'!B:B,"Pipeline",'02_R1_sintesis_artefactos'!D:D,"Requisitos"),"—")</f>
        <v/>
      </c>
      <c r="E8" s="13">
        <f>IFERROR(_xlfn.MINIFS('02_R1_sintesis_artefactos'!M:M,'02_R1_sintesis_artefactos'!B:B,"Pipeline",'02_R1_sintesis_artefactos'!D:D,"Requisitos")&amp;" - "&amp;_xlfn.MAXIFS('02_R1_sintesis_artefactos'!M:M,'02_R1_sintesis_artefactos'!B:B,"Pipeline",'02_R1_sintesis_artefactos'!D:D,"Requisitos"),"—")</f>
        <v/>
      </c>
      <c r="F8" s="13">
        <f>IF(OR(C8="—",D8="—"),"—",IF(D8&gt;=C8,"= IA≥B (favorable)","&lt; IA&lt;B (desfavorable)"))</f>
        <v/>
      </c>
    </row>
    <row r="9" ht="14.25" customHeight="1">
      <c r="A9" s="10" t="inlineStr">
        <is>
          <t>Planificación</t>
        </is>
      </c>
      <c r="B9" s="10" t="inlineStr">
        <is>
          <t>M1</t>
        </is>
      </c>
      <c r="C9" s="12">
        <f>IFERROR(AVERAGEIFS('02_R1_sintesis_artefactos'!F:F,'02_R1_sintesis_artefactos'!B:B,"Baseline",'02_R1_sintesis_artefactos'!D:D,"Planificación"),"—")</f>
        <v/>
      </c>
      <c r="D9" s="12">
        <f>IFERROR(AVERAGEIFS('02_R1_sintesis_artefactos'!F:F,'02_R1_sintesis_artefactos'!B:B,"Pipeline",'02_R1_sintesis_artefactos'!D:D,"Planificación"),"—")</f>
        <v/>
      </c>
      <c r="E9" s="12">
        <f>IFERROR(_xlfn.MINIFS('02_R1_sintesis_artefactos'!F:F,'02_R1_sintesis_artefactos'!B:B,"Pipeline",'02_R1_sintesis_artefactos'!D:D,"Planificación")&amp;" - "&amp;_xlfn.MAXIFS('02_R1_sintesis_artefactos'!F:F,'02_R1_sintesis_artefactos'!B:B,"Pipeline",'02_R1_sintesis_artefactos'!D:D,"Planificación"),"—")</f>
        <v/>
      </c>
      <c r="F9" s="12">
        <f>IF(OR(C9="—",D9="—"),"—",IF(D9&gt;=C9,"= IA≥B (favorable)","&lt; IA&lt;B (desfavorable)"))</f>
        <v/>
      </c>
    </row>
    <row r="10" ht="28.5" customHeight="1">
      <c r="A10" s="10" t="inlineStr">
        <is>
          <t>Planificación</t>
        </is>
      </c>
      <c r="B10" s="10" t="inlineStr">
        <is>
          <t>M3</t>
        </is>
      </c>
      <c r="C10" s="12">
        <f>IFERROR(AVERAGEIFS('02_R1_sintesis_artefactos'!H:H,'02_R1_sintesis_artefactos'!B:B,"Baseline",'02_R1_sintesis_artefactos'!D:D,"Planificación"),"—")</f>
        <v/>
      </c>
      <c r="D10" s="12">
        <f>IFERROR(AVERAGEIFS('02_R1_sintesis_artefactos'!H:H,'02_R1_sintesis_artefactos'!B:B,"Pipeline",'02_R1_sintesis_artefactos'!D:D,"Planificación"),"—")</f>
        <v/>
      </c>
      <c r="E10" s="12">
        <f>IFERROR(_xlfn.MINIFS('02_R1_sintesis_artefactos'!H:H,'02_R1_sintesis_artefactos'!B:B,"Pipeline",'02_R1_sintesis_artefactos'!D:D,"Planificación")&amp;" - "&amp;_xlfn.MAXIFS('02_R1_sintesis_artefactos'!H:H,'02_R1_sintesis_artefactos'!B:B,"Pipeline",'02_R1_sintesis_artefactos'!D:D,"Planificación"),"—")</f>
        <v/>
      </c>
      <c r="F10" s="12">
        <f>IF(OR(C10="—",D10="—"),"—",IF(D10&gt;=C10,"= IA≥B (favorable)","&lt; IA&lt;B (desfavorable)"))</f>
        <v/>
      </c>
    </row>
    <row r="11" ht="14.25" customHeight="1">
      <c r="A11" s="11" t="inlineStr">
        <is>
          <t>Planificación</t>
        </is>
      </c>
      <c r="B11" s="11" t="inlineStr">
        <is>
          <t>M4 (%)</t>
        </is>
      </c>
      <c r="C11" s="13">
        <f>IFERROR(AVERAGEIFS('02_R1_sintesis_artefactos'!M:M,'02_R1_sintesis_artefactos'!B:B,"Baseline",'02_R1_sintesis_artefactos'!D:D,"Planificación"),"—")</f>
        <v/>
      </c>
      <c r="D11" s="13">
        <f>IFERROR(AVERAGEIFS('02_R1_sintesis_artefactos'!M:M,'02_R1_sintesis_artefactos'!B:B,"Pipeline",'02_R1_sintesis_artefactos'!D:D,"Planificación"),"—")</f>
        <v/>
      </c>
      <c r="E11" s="13">
        <f>IFERROR(_xlfn.MINIFS('02_R1_sintesis_artefactos'!M:M,'02_R1_sintesis_artefactos'!B:B,"Pipeline",'02_R1_sintesis_artefactos'!D:D,"Planificación")&amp;" - "&amp;_xlfn.MAXIFS('02_R1_sintesis_artefactos'!M:M,'02_R1_sintesis_artefactos'!B:B,"Pipeline",'02_R1_sintesis_artefactos'!D:D,"Planificación"),"—")</f>
        <v/>
      </c>
      <c r="F11" s="13">
        <f>IF(OR(C11="—",D11="—"),"—",IF(D11&gt;=C11,"= IA≥B (favorable)","&lt; IA&lt;B (desfavorable)"))</f>
        <v/>
      </c>
    </row>
    <row r="12" ht="28.5" customHeight="1">
      <c r="A12" s="10" t="inlineStr">
        <is>
          <t>Diseño técnico</t>
        </is>
      </c>
      <c r="B12" s="10" t="inlineStr">
        <is>
          <t>M1</t>
        </is>
      </c>
      <c r="C12" s="12">
        <f>IFERROR(AVERAGEIFS('02_R1_sintesis_artefactos'!F:F,'02_R1_sintesis_artefactos'!B:B,"Baseline",'02_R1_sintesis_artefactos'!D:D,"Diseño técnico"),"—")</f>
        <v/>
      </c>
      <c r="D12" s="12">
        <f>IFERROR(AVERAGEIFS('02_R1_sintesis_artefactos'!F:F,'02_R1_sintesis_artefactos'!B:B,"Pipeline",'02_R1_sintesis_artefactos'!D:D,"Diseño técnico"),"—")</f>
        <v/>
      </c>
      <c r="E12" s="12">
        <f>IFERROR(_xlfn.MINIFS('02_R1_sintesis_artefactos'!F:F,'02_R1_sintesis_artefactos'!B:B,"Pipeline",'02_R1_sintesis_artefactos'!D:D,"Diseño técnico")&amp;" - "&amp;_xlfn.MAXIFS('02_R1_sintesis_artefactos'!F:F,'02_R1_sintesis_artefactos'!B:B,"Pipeline",'02_R1_sintesis_artefactos'!D:D,"Diseño técnico"),"—")</f>
        <v/>
      </c>
      <c r="F12" s="12">
        <f>IF(OR(C12="—",D12="—"),"—",IF(D12&gt;=C12,"= IA≥B (favorable)","&lt; IA&lt;B (desfavorable)"))</f>
        <v/>
      </c>
    </row>
    <row r="13" ht="28.5" customHeight="1">
      <c r="A13" s="10" t="inlineStr">
        <is>
          <t>Diseño técnico</t>
        </is>
      </c>
      <c r="B13" s="10" t="inlineStr">
        <is>
          <t>M3</t>
        </is>
      </c>
      <c r="C13" s="12">
        <f>IFERROR(AVERAGEIFS('02_R1_sintesis_artefactos'!H:H,'02_R1_sintesis_artefactos'!B:B,"Baseline",'02_R1_sintesis_artefactos'!D:D,"Diseño técnico"),"—")</f>
        <v/>
      </c>
      <c r="D13" s="12">
        <f>IFERROR(AVERAGEIFS('02_R1_sintesis_artefactos'!H:H,'02_R1_sintesis_artefactos'!B:B,"Pipeline",'02_R1_sintesis_artefactos'!D:D,"Diseño técnico"),"—")</f>
        <v/>
      </c>
      <c r="E13" s="12">
        <f>IFERROR(_xlfn.MINIFS('02_R1_sintesis_artefactos'!H:H,'02_R1_sintesis_artefactos'!B:B,"Pipeline",'02_R1_sintesis_artefactos'!D:D,"Diseño técnico")&amp;" - "&amp;_xlfn.MAXIFS('02_R1_sintesis_artefactos'!H:H,'02_R1_sintesis_artefactos'!B:B,"Pipeline",'02_R1_sintesis_artefactos'!D:D,"Diseño técnico"),"—")</f>
        <v/>
      </c>
      <c r="F13" s="12">
        <f>IF(OR(C13="—",D13="—"),"—",IF(D13&gt;=C13,"= IA≥B (favorable)","&lt; IA&lt;B (desfavorable)"))</f>
        <v/>
      </c>
    </row>
    <row r="14" ht="28.5" customHeight="1">
      <c r="A14" s="11" t="inlineStr">
        <is>
          <t>Diseño técnico</t>
        </is>
      </c>
      <c r="B14" s="11" t="inlineStr">
        <is>
          <t>M4 (%)</t>
        </is>
      </c>
      <c r="C14" s="13">
        <f>IFERROR(AVERAGEIFS('02_R1_sintesis_artefactos'!M:M,'02_R1_sintesis_artefactos'!B:B,"Baseline",'02_R1_sintesis_artefactos'!D:D,"Diseño técnico"),"—")</f>
        <v/>
      </c>
      <c r="D14" s="13">
        <f>IFERROR(AVERAGEIFS('02_R1_sintesis_artefactos'!M:M,'02_R1_sintesis_artefactos'!B:B,"Pipeline",'02_R1_sintesis_artefactos'!D:D,"Diseño técnico"),"—")</f>
        <v/>
      </c>
      <c r="E14" s="13">
        <f>IFERROR(_xlfn.MINIFS('02_R1_sintesis_artefactos'!M:M,'02_R1_sintesis_artefactos'!B:B,"Pipeline",'02_R1_sintesis_artefactos'!D:D,"Diseño técnico")&amp;" - "&amp;_xlfn.MAXIFS('02_R1_sintesis_artefactos'!M:M,'02_R1_sintesis_artefactos'!B:B,"Pipeline",'02_R1_sintesis_artefactos'!D:D,"Diseño técnico"),"—")</f>
        <v/>
      </c>
      <c r="F14" s="13">
        <f>IF(OR(C14="—",D14="—"),"—",IF(D14&gt;=C14,"= IA≥B (favorable)","&lt; IA&lt;B (desfavorable)"))</f>
        <v/>
      </c>
    </row>
    <row r="15" ht="14.25" customHeight="1">
      <c r="A15" s="10" t="inlineStr">
        <is>
          <t>Seguimiento</t>
        </is>
      </c>
      <c r="B15" s="10" t="inlineStr">
        <is>
          <t>M1</t>
        </is>
      </c>
      <c r="C15" s="12">
        <f>IFERROR(AVERAGEIFS('02_R1_sintesis_artefactos'!F:F,'02_R1_sintesis_artefactos'!B:B,"Baseline",'02_R1_sintesis_artefactos'!D:D,"Seguimiento"),"—")</f>
        <v/>
      </c>
      <c r="D15" s="12">
        <f>IFERROR(AVERAGEIFS('02_R1_sintesis_artefactos'!F:F,'02_R1_sintesis_artefactos'!B:B,"Pipeline",'02_R1_sintesis_artefactos'!D:D,"Seguimiento"),"—")</f>
        <v/>
      </c>
      <c r="E15" s="12">
        <f>IFERROR(_xlfn.MINIFS('02_R1_sintesis_artefactos'!F:F,'02_R1_sintesis_artefactos'!B:B,"Pipeline",'02_R1_sintesis_artefactos'!D:D,"Seguimiento")&amp;" - "&amp;_xlfn.MAXIFS('02_R1_sintesis_artefactos'!F:F,'02_R1_sintesis_artefactos'!B:B,"Pipeline",'02_R1_sintesis_artefactos'!D:D,"Seguimiento"),"—")</f>
        <v/>
      </c>
      <c r="F15" s="12">
        <f>IF(OR(C15="—",D15="—"),"—",IF(D15&gt;=C15,"= IA≥B (favorable)","&lt; IA&lt;B (desfavorable)"))</f>
        <v/>
      </c>
    </row>
    <row r="16" ht="14.25" customHeight="1">
      <c r="A16" s="10" t="inlineStr">
        <is>
          <t>Seguimiento</t>
        </is>
      </c>
      <c r="B16" s="10" t="inlineStr">
        <is>
          <t>M3</t>
        </is>
      </c>
      <c r="C16" s="12">
        <f>IFERROR(AVERAGEIFS('02_R1_sintesis_artefactos'!H:H,'02_R1_sintesis_artefactos'!B:B,"Baseline",'02_R1_sintesis_artefactos'!D:D,"Seguimiento"),"—")</f>
        <v/>
      </c>
      <c r="D16" s="12">
        <f>IFERROR(AVERAGEIFS('02_R1_sintesis_artefactos'!H:H,'02_R1_sintesis_artefactos'!B:B,"Pipeline",'02_R1_sintesis_artefactos'!D:D,"Seguimiento"),"—")</f>
        <v/>
      </c>
      <c r="E16" s="12">
        <f>IFERROR(_xlfn.MINIFS('02_R1_sintesis_artefactos'!H:H,'02_R1_sintesis_artefactos'!B:B,"Pipeline",'02_R1_sintesis_artefactos'!D:D,"Seguimiento")&amp;" - "&amp;_xlfn.MAXIFS('02_R1_sintesis_artefactos'!H:H,'02_R1_sintesis_artefactos'!B:B,"Pipeline",'02_R1_sintesis_artefactos'!D:D,"Seguimiento"),"—")</f>
        <v/>
      </c>
      <c r="F16" s="12">
        <f>IF(OR(C16="—",D16="—"),"—",IF(D16&gt;=C16,"= IA≥B (favorable)","&lt; IA&lt;B (desfavorable)"))</f>
        <v/>
      </c>
    </row>
    <row r="17" ht="14.25" customHeight="1">
      <c r="A17" s="11" t="inlineStr">
        <is>
          <t>Seguimiento</t>
        </is>
      </c>
      <c r="B17" s="11" t="inlineStr">
        <is>
          <t>M4 (%)</t>
        </is>
      </c>
      <c r="C17" s="13">
        <f>IFERROR(SUMIFS('02_R1_sintesis_artefactos'!L:L,'02_R1_sintesis_artefactos'!B:B,"Baseline",'02_R1_sintesis_artefactos'!D:D,"Seguimiento")/SUMIFS('02_R1_sintesis_artefactos'!K:K,'02_R1_sintesis_artefactos'!B:B,"Baseline",'02_R1_sintesis_artefactos'!D:D,"Seguimiento")*100,"—")</f>
        <v/>
      </c>
      <c r="D17" s="13">
        <f>IFERROR(AVERAGE(SUMIFS('02_R1_sintesis_artefactos'!L:L,'02_R1_sintesis_artefactos'!B:B,"Pipeline",'02_R1_sintesis_artefactos'!C:C,"run_01",'02_R1_sintesis_artefactos'!D:D,"Seguimiento")/SUMIFS('02_R1_sintesis_artefactos'!K:K,'02_R1_sintesis_artefactos'!B:B,"Pipeline",'02_R1_sintesis_artefactos'!C:C,"run_01",'02_R1_sintesis_artefactos'!D:D,"Seguimiento")*100,SUMIFS('02_R1_sintesis_artefactos'!L:L,'02_R1_sintesis_artefactos'!B:B,"Pipeline",'02_R1_sintesis_artefactos'!C:C,"run_02",'02_R1_sintesis_artefactos'!D:D,"Seguimiento")/SUMIFS('02_R1_sintesis_artefactos'!K:K,'02_R1_sintesis_artefactos'!B:B,"Pipeline",'02_R1_sintesis_artefactos'!C:C,"run_02",'02_R1_sintesis_artefactos'!D:D,"Seguimiento")*100,SUMIFS('02_R1_sintesis_artefactos'!L:L,'02_R1_sintesis_artefactos'!B:B,"Pipeline",'02_R1_sintesis_artefactos'!C:C,"run_03",'02_R1_sintesis_artefactos'!D:D,"Seguimiento")/SUMIFS('02_R1_sintesis_artefactos'!K:K,'02_R1_sintesis_artefactos'!B:B,"Pipeline",'02_R1_sintesis_artefactos'!C:C,"run_03",'02_R1_sintesis_artefactos'!D:D,"Seguimiento")*100),"—")</f>
        <v/>
      </c>
      <c r="E17" s="13">
        <f>IFERROR(_xlfn.MINIFS('02_R1_sintesis_artefactos'!M:M,'02_R1_sintesis_artefactos'!B:B,"Pipeline",'02_R1_sintesis_artefactos'!D:D,"Seguimiento")&amp;" - "&amp;_xlfn.MAXIFS('02_R1_sintesis_artefactos'!M:M,'02_R1_sintesis_artefactos'!B:B,"Pipeline",'02_R1_sintesis_artefactos'!D:D,"Seguimiento"),"—")</f>
        <v/>
      </c>
      <c r="F17" s="13">
        <f>IF(OR(C17="—",D17="—"),"—",IF(D17&gt;=C17,"= IA≥B (favorable)","&lt; IA&lt;B (desfavorable)"))</f>
        <v/>
      </c>
    </row>
    <row r="18" ht="14.25" customHeight="1">
      <c r="A18" s="10" t="inlineStr">
        <is>
          <t>Cierre</t>
        </is>
      </c>
      <c r="B18" s="10" t="inlineStr">
        <is>
          <t>M1</t>
        </is>
      </c>
      <c r="C18" s="12">
        <f>IFERROR(AVERAGEIFS('02_R1_sintesis_artefactos'!F:F,'02_R1_sintesis_artefactos'!B:B,"Baseline",'02_R1_sintesis_artefactos'!D:D,"Cierre"),"—")</f>
        <v/>
      </c>
      <c r="D18" s="12">
        <f>IFERROR(AVERAGEIFS('02_R1_sintesis_artefactos'!F:F,'02_R1_sintesis_artefactos'!B:B,"Pipeline",'02_R1_sintesis_artefactos'!D:D,"Cierre"),"—")</f>
        <v/>
      </c>
      <c r="E18" s="12">
        <f>IFERROR(_xlfn.MINIFS('02_R1_sintesis_artefactos'!F:F,'02_R1_sintesis_artefactos'!B:B,"Pipeline",'02_R1_sintesis_artefactos'!D:D,"Cierre")&amp;" - "&amp;_xlfn.MAXIFS('02_R1_sintesis_artefactos'!F:F,'02_R1_sintesis_artefactos'!B:B,"Pipeline",'02_R1_sintesis_artefactos'!D:D,"Cierre"),"—")</f>
        <v/>
      </c>
      <c r="F18" s="12">
        <f>IF(OR(C18="—",D18="—"),"—",IF(D18&gt;=C18,"= IA≥B (favorable)","&lt; IA&lt;B (desfavorable)"))</f>
        <v/>
      </c>
    </row>
    <row r="19" ht="14.25" customHeight="1">
      <c r="A19" s="10" t="inlineStr">
        <is>
          <t>Cierre</t>
        </is>
      </c>
      <c r="B19" s="10" t="inlineStr">
        <is>
          <t>M3</t>
        </is>
      </c>
      <c r="C19" s="12">
        <f>IFERROR(AVERAGEIFS('02_R1_sintesis_artefactos'!H:H,'02_R1_sintesis_artefactos'!B:B,"Baseline",'02_R1_sintesis_artefactos'!D:D,"Cierre"),"—")</f>
        <v/>
      </c>
      <c r="D19" s="12">
        <f>IFERROR(AVERAGEIFS('02_R1_sintesis_artefactos'!H:H,'02_R1_sintesis_artefactos'!B:B,"Pipeline",'02_R1_sintesis_artefactos'!D:D,"Cierre"),"—")</f>
        <v/>
      </c>
      <c r="E19" s="12">
        <f>IFERROR(_xlfn.MINIFS('02_R1_sintesis_artefactos'!H:H,'02_R1_sintesis_artefactos'!B:B,"Pipeline",'02_R1_sintesis_artefactos'!D:D,"Cierre")&amp;" - "&amp;_xlfn.MAXIFS('02_R1_sintesis_artefactos'!H:H,'02_R1_sintesis_artefactos'!B:B,"Pipeline",'02_R1_sintesis_artefactos'!D:D,"Cierre"),"—")</f>
        <v/>
      </c>
      <c r="F19" s="12">
        <f>IF(OR(C19="—",D19="—"),"—",IF(D19&gt;=C19,"= IA≥B (favorable)","&lt; IA&lt;B (desfavorable)"))</f>
        <v/>
      </c>
    </row>
    <row r="20" ht="14.25" customHeight="1">
      <c r="A20" s="11" t="inlineStr">
        <is>
          <t>Cierre</t>
        </is>
      </c>
      <c r="B20" s="11" t="inlineStr">
        <is>
          <t>M4 (%)</t>
        </is>
      </c>
      <c r="C20" s="13">
        <f>IFERROR(AVERAGEIFS('02_R1_sintesis_artefactos'!M:M,'02_R1_sintesis_artefactos'!B:B,"Baseline",'02_R1_sintesis_artefactos'!D:D,"Cierre"),"—")</f>
        <v/>
      </c>
      <c r="D20" s="13">
        <f>IFERROR(AVERAGEIFS('02_R1_sintesis_artefactos'!M:M,'02_R1_sintesis_artefactos'!B:B,"Pipeline",'02_R1_sintesis_artefactos'!D:D,"Cierre"),"—")</f>
        <v/>
      </c>
      <c r="E20" s="13">
        <f>IFERROR(_xlfn.MINIFS('02_R1_sintesis_artefactos'!M:M,'02_R1_sintesis_artefactos'!B:B,"Pipeline",'02_R1_sintesis_artefactos'!D:D,"Cierre")&amp;" - "&amp;_xlfn.MAXIFS('02_R1_sintesis_artefactos'!M:M,'02_R1_sintesis_artefactos'!B:B,"Pipeline",'02_R1_sintesis_artefactos'!D:D,"Cierre"),"—")</f>
        <v/>
      </c>
      <c r="F20" s="13">
        <f>IF(OR(C20="—",D20="—"),"—",IF(D20&gt;=C20,"= IA≥B (favorable)","&lt; IA&lt;B (desfavorable)"))</f>
        <v/>
      </c>
    </row>
    <row r="23" ht="14.25" customHeight="1">
      <c r="A23" s="204" t="inlineStr">
        <is>
          <t>VEREDICTO H2 — Sin diferencia sustantiva en M1/M3/M4 a través de las 5 familias</t>
        </is>
      </c>
    </row>
    <row r="24" ht="15" customHeight="1">
      <c r="A24" s="227" t="inlineStr">
        <is>
          <t>Anotar manualmente la lectura cualitativa (no se calcula porque exige juicio cualitativo sobre 'sustantiva')</t>
        </is>
      </c>
    </row>
    <row r="25" ht="14.25" customHeight="1">
      <c r="A25" s="218" t="n"/>
      <c r="B25" s="219" t="n"/>
      <c r="C25" s="219" t="n"/>
      <c r="D25" s="219" t="n"/>
      <c r="E25" s="219" t="n"/>
      <c r="F25" s="220" t="n"/>
    </row>
    <row r="26" ht="14.25" customHeight="1">
      <c r="A26" s="221" t="n"/>
      <c r="F26" s="222" t="n"/>
    </row>
    <row r="27" ht="14.25" customHeight="1">
      <c r="A27" s="223" t="n"/>
      <c r="B27" s="224" t="n"/>
      <c r="C27" s="224" t="n"/>
      <c r="D27" s="224" t="n"/>
      <c r="E27" s="224" t="n"/>
      <c r="F27" s="225" t="n"/>
    </row>
    <row r="30" ht="15" customHeight="1">
      <c r="A30" s="217" t="inlineStr">
        <is>
          <t>H1 — Esfuerzo humano: consultar 07_T1_T2_T3_tiempos (M17)</t>
        </is>
      </c>
    </row>
    <row r="31" ht="15" customHeight="1">
      <c r="A31" s="217" t="inlineStr">
        <is>
          <t>H3 — Deriva: consultar 08_I1_incidencias (M14 y auxiliares M9-M13)</t>
        </is>
      </c>
    </row>
    <row r="32" ht="15" customHeight="1">
      <c r="A32" s="217" t="inlineStr">
        <is>
          <t>VD2 — Calidad mínima del producto: consultar 06_P1_P2_pruebas (M6, M7, M-operatividad)</t>
        </is>
      </c>
    </row>
    <row r="34" ht="14.25" customHeight="1">
      <c r="A34" s="204" t="inlineStr">
        <is>
          <t>VD5 — Reproducibilidad caso IA</t>
        </is>
      </c>
    </row>
    <row r="35" ht="14.25" customHeight="1">
      <c r="A35" s="5" t="inlineStr">
        <is>
          <t>Métrica</t>
        </is>
      </c>
      <c r="B35" s="5" t="inlineStr">
        <is>
          <t>Run 01</t>
        </is>
      </c>
      <c r="C35" s="5" t="inlineStr">
        <is>
          <t>Run 02</t>
        </is>
      </c>
      <c r="D35" s="5" t="inlineStr">
        <is>
          <t>Run 03</t>
        </is>
      </c>
      <c r="E35" s="5" t="inlineStr">
        <is>
          <t>Media</t>
        </is>
      </c>
    </row>
    <row r="36" ht="26.4" customHeight="1">
      <c r="A36" s="1" t="inlineStr">
        <is>
          <t>M19 (%) — Evidencia completa</t>
        </is>
      </c>
      <c r="B36" s="13">
        <f>'09_VD5_reproducibilidad'!B22</f>
        <v/>
      </c>
      <c r="C36" s="13">
        <f>'09_VD5_reproducibilidad'!C22</f>
        <v/>
      </c>
      <c r="D36" s="13">
        <f>'09_VD5_reproducibilidad'!D22</f>
        <v/>
      </c>
      <c r="E36" s="13">
        <f>AVERAGE(B36:D36)</f>
        <v/>
      </c>
    </row>
    <row r="37" ht="26.4" customHeight="1">
      <c r="A37" s="1" t="inlineStr">
        <is>
          <t>M20 (%) — Regenerabilidad</t>
        </is>
      </c>
      <c r="B37" s="13">
        <f>'09_VD5_reproducibilidad'!B30</f>
        <v/>
      </c>
      <c r="C37" s="13">
        <f>'09_VD5_reproducibilidad'!C30</f>
        <v/>
      </c>
      <c r="D37" s="13">
        <f>'09_VD5_reproducibilidad'!D30</f>
        <v/>
      </c>
      <c r="E37" s="13">
        <f>AVERAGE(B37:D37)</f>
        <v/>
      </c>
    </row>
    <row r="38" ht="26.4" customHeight="1">
      <c r="A38" s="1" t="inlineStr">
        <is>
          <t>M21 (%) — Trazabilidad versión-resultado</t>
        </is>
      </c>
      <c r="B38" s="13">
        <f>'09_VD5_reproducibilidad'!B40</f>
        <v/>
      </c>
      <c r="C38" s="13">
        <f>'09_VD5_reproducibilidad'!C40</f>
        <v/>
      </c>
      <c r="D38" s="13">
        <f>'09_VD5_reproducibilidad'!D40</f>
        <v/>
      </c>
      <c r="E38" s="13">
        <f>AVERAGE(B38:D38)</f>
        <v/>
      </c>
    </row>
    <row r="40" ht="14.25" customHeight="1">
      <c r="A40" s="226" t="inlineStr">
        <is>
          <t>Métricas descriptivas caso IA (M8, M13, M16)</t>
        </is>
      </c>
    </row>
    <row r="41" ht="66" customHeight="1">
      <c r="A41" s="184" t="inlineStr">
        <is>
          <t>Métricas descriptivas del pipeline (NO soportan hipótesis del contraste). 
M8 = tasa de aprobación en gates.
M13 = % de incidencias detectadas en gate humano.
M16 = tiempo activo de elaboración por fase.
M18 = iteraciones/revisiones adicionales por gate cuando existe evidencia.</t>
        </is>
      </c>
    </row>
    <row r="43" ht="14.25" customHeight="1">
      <c r="A43" s="17" t="inlineStr">
        <is>
          <t>Métrica</t>
        </is>
      </c>
      <c r="B43" s="15" t="inlineStr">
        <is>
          <t>Run 01</t>
        </is>
      </c>
      <c r="C43" s="15" t="inlineStr">
        <is>
          <t>Run 02</t>
        </is>
      </c>
      <c r="D43" s="15" t="inlineStr">
        <is>
          <t>Run 03</t>
        </is>
      </c>
      <c r="E43" s="15" t="inlineStr">
        <is>
          <t>Media</t>
        </is>
      </c>
    </row>
    <row r="44" ht="26.4" customHeight="1">
      <c r="A44" s="19" t="inlineStr">
        <is>
          <t>Gates aprobados (input)</t>
        </is>
      </c>
      <c r="B44" s="48" t="n">
        <v>3</v>
      </c>
      <c r="C44" s="48" t="n">
        <v>2</v>
      </c>
      <c r="D44" s="48" t="n">
        <v>3</v>
      </c>
      <c r="E44" s="46" t="inlineStr">
        <is>
          <t>—</t>
        </is>
      </c>
    </row>
    <row r="45" ht="26.4" customHeight="1">
      <c r="A45" s="20" t="inlineStr">
        <is>
          <t>Gates ejecutados por run</t>
        </is>
      </c>
      <c r="B45" s="46" t="n">
        <v>3</v>
      </c>
      <c r="C45" s="46" t="n">
        <v>3</v>
      </c>
      <c r="D45" s="46" t="n">
        <v>3</v>
      </c>
      <c r="E45" s="46" t="inlineStr">
        <is>
          <t>—</t>
        </is>
      </c>
    </row>
    <row r="46" ht="26.4" customHeight="1">
      <c r="A46" s="21" t="inlineStr">
        <is>
          <t>M8 (%) — Tasa de aprobación en gates</t>
        </is>
      </c>
      <c r="B46" s="49">
        <f>IF(B45&gt;0,B44/B45*100,0)</f>
        <v/>
      </c>
      <c r="C46" s="49">
        <f>IF(C45&gt;0,C44/C45*100,0)</f>
        <v/>
      </c>
      <c r="D46" s="49">
        <f>IF(D45&gt;0,D44/D45*100,0)</f>
        <v/>
      </c>
      <c r="E46" s="49">
        <f>AVERAGE(B46:D46)</f>
        <v/>
      </c>
    </row>
    <row r="47" ht="13.2" customHeight="1">
      <c r="A47" s="180" t="inlineStr">
        <is>
          <t>M16 — Tiempo activo IA por fase (min)</t>
        </is>
      </c>
      <c r="B47" s="199">
        <f>'07_T1_T2_T3_tiempos'!C42</f>
        <v/>
      </c>
      <c r="C47" s="199">
        <f>'07_T1_T2_T3_tiempos'!D42</f>
        <v/>
      </c>
      <c r="D47" s="199">
        <f>'07_T1_T2_T3_tiempos'!E42</f>
        <v/>
      </c>
      <c r="E47" s="199">
        <f>AVERAGE(B47:D47)</f>
        <v/>
      </c>
    </row>
    <row r="48" ht="26.4" customHeight="1">
      <c r="A48" s="21" t="inlineStr">
        <is>
          <t>M13 (%) — Incidencias detectadas por gate humano</t>
        </is>
      </c>
      <c r="B48" s="49">
        <f>'08_I1_incidencias'!C39</f>
        <v/>
      </c>
      <c r="C48" s="49">
        <f>'08_I1_incidencias'!D39</f>
        <v/>
      </c>
      <c r="D48" s="49">
        <f>'08_I1_incidencias'!E39</f>
        <v/>
      </c>
      <c r="E48" s="49">
        <f>'08_I1_incidencias'!F39</f>
        <v/>
      </c>
    </row>
    <row r="49" ht="21" customFormat="1" customHeight="1" s="199">
      <c r="A49" s="216" t="inlineStr">
        <is>
          <t>Nota: M13 enlaza con la fila 39 de 08_I1_incidencias. M16 enlaza con la fila 42 de 07_T1_T2_T3_tiempos.</t>
        </is>
      </c>
    </row>
    <row r="50" ht="14.4" customHeight="1">
      <c r="A50" s="103" t="inlineStr">
        <is>
          <t>M18 — Iteraciones/revisiones adicionales de gate (proxy)</t>
        </is>
      </c>
      <c r="B50" s="103">
        <f>B45-B44</f>
        <v/>
      </c>
      <c r="C50" s="103">
        <f>C45-C44</f>
        <v/>
      </c>
      <c r="D50" s="103">
        <f>D45-D44</f>
        <v/>
      </c>
      <c r="E50" s="103">
        <f>AVERAGE(B50:D50)</f>
        <v/>
      </c>
    </row>
    <row r="51" ht="14.25" customHeight="1"/>
  </sheetData>
  <mergeCells count="13">
    <mergeCell ref="A24:F24"/>
    <mergeCell ref="A4:H4"/>
    <mergeCell ref="A2:H2"/>
    <mergeCell ref="A23:F23"/>
    <mergeCell ref="A41:E41"/>
    <mergeCell ref="A32:F32"/>
    <mergeCell ref="A49:E49"/>
    <mergeCell ref="A31:F31"/>
    <mergeCell ref="A34:F34"/>
    <mergeCell ref="A25:F27"/>
    <mergeCell ref="A1:H1"/>
    <mergeCell ref="A30:F30"/>
    <mergeCell ref="A40:E40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2026-05-19T13:50:36Z</dcterms:created>
  <dcterms:modified xmlns:dcterms="http://purl.org/dc/terms/" xmlns:xsi="http://www.w3.org/2001/XMLSchema-instance" xsi:type="dcterms:W3CDTF">2026-06-15T03:43:15Z</dcterms:modified>
  <cp:lastModifiedBy>Yesi GF</cp:lastModifiedBy>
  <cp:revision>0</cp:revision>
</cp:coreProperties>
</file>